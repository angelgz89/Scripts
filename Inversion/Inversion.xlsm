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df5196b4fe2d4f2/Programacion/Inversion/"/>
    </mc:Choice>
  </mc:AlternateContent>
  <xr:revisionPtr revIDLastSave="2" documentId="13_ncr:1_{4CFEAA68-878B-4565-9B3D-CE684C2AE80B}" xr6:coauthVersionLast="47" xr6:coauthVersionMax="47" xr10:uidLastSave="{779DB75F-B616-3649-B79E-47304F415D06}"/>
  <bookViews>
    <workbookView xWindow="0" yWindow="500" windowWidth="28800" windowHeight="15920" tabRatio="871" activeTab="2" xr2:uid="{00000000-000D-0000-FFFF-FFFF00000000}"/>
  </bookViews>
  <sheets>
    <sheet name="Fondos" sheetId="1" r:id="rId1"/>
    <sheet name="Estrategia" sheetId="2" r:id="rId2"/>
    <sheet name="Resumen" sheetId="3" r:id="rId3"/>
    <sheet name="Asset" sheetId="4" r:id="rId4"/>
    <sheet name="Cuentas" sheetId="5" r:id="rId5"/>
    <sheet name="Cartera 2021" sheetId="6" r:id="rId6"/>
    <sheet name="2021" sheetId="7" r:id="rId7"/>
    <sheet name="Notas" sheetId="8" r:id="rId8"/>
    <sheet name="Xray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9" l="1"/>
  <c r="H16" i="9"/>
  <c r="F16" i="9"/>
  <c r="H15" i="9"/>
  <c r="G15" i="9"/>
  <c r="F15" i="9"/>
  <c r="H14" i="9"/>
  <c r="G14" i="9"/>
  <c r="F14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G1" i="9" s="1"/>
  <c r="F6" i="9"/>
  <c r="F1" i="9" s="1"/>
  <c r="H5" i="9"/>
  <c r="H1" i="9" s="1"/>
  <c r="G5" i="9"/>
  <c r="F5" i="9"/>
  <c r="H4" i="9"/>
  <c r="G4" i="9"/>
  <c r="F4" i="9"/>
  <c r="H3" i="9"/>
  <c r="G3" i="9"/>
  <c r="F3" i="9"/>
  <c r="H2" i="9"/>
  <c r="G2" i="9"/>
  <c r="F2" i="9"/>
  <c r="W54" i="7"/>
  <c r="X53" i="7" s="1"/>
  <c r="M54" i="7"/>
  <c r="N53" i="7" s="1"/>
  <c r="C54" i="7"/>
  <c r="D53" i="7"/>
  <c r="G4" i="4" s="1"/>
  <c r="AD51" i="7"/>
  <c r="AC51" i="7"/>
  <c r="AA51" i="7"/>
  <c r="AB51" i="7" s="1"/>
  <c r="Y51" i="7"/>
  <c r="Z51" i="7" s="1"/>
  <c r="T51" i="7"/>
  <c r="S51" i="7"/>
  <c r="Q51" i="7"/>
  <c r="R51" i="7" s="1"/>
  <c r="O51" i="7"/>
  <c r="P51" i="7" s="1"/>
  <c r="J51" i="7"/>
  <c r="I51" i="7"/>
  <c r="G51" i="7"/>
  <c r="H51" i="7" s="1"/>
  <c r="E51" i="7"/>
  <c r="F51" i="7" s="1"/>
  <c r="AD50" i="7"/>
  <c r="AC50" i="7"/>
  <c r="AA50" i="7"/>
  <c r="AB50" i="7" s="1"/>
  <c r="Z50" i="7"/>
  <c r="Y50" i="7"/>
  <c r="T50" i="7"/>
  <c r="S50" i="7"/>
  <c r="Q50" i="7"/>
  <c r="R50" i="7" s="1"/>
  <c r="P50" i="7"/>
  <c r="O50" i="7"/>
  <c r="J50" i="7"/>
  <c r="I50" i="7"/>
  <c r="G50" i="7"/>
  <c r="H50" i="7" s="1"/>
  <c r="E50" i="7"/>
  <c r="F50" i="7" s="1"/>
  <c r="AD49" i="7"/>
  <c r="AC49" i="7"/>
  <c r="AB49" i="7"/>
  <c r="AA49" i="7"/>
  <c r="Y49" i="7"/>
  <c r="Z49" i="7" s="1"/>
  <c r="T49" i="7"/>
  <c r="S49" i="7"/>
  <c r="R49" i="7"/>
  <c r="Q49" i="7"/>
  <c r="O49" i="7"/>
  <c r="P49" i="7" s="1"/>
  <c r="J49" i="7"/>
  <c r="I49" i="7"/>
  <c r="G49" i="7"/>
  <c r="H49" i="7" s="1"/>
  <c r="E49" i="7"/>
  <c r="F49" i="7" s="1"/>
  <c r="AD48" i="7"/>
  <c r="AC48" i="7"/>
  <c r="AA48" i="7"/>
  <c r="AB48" i="7" s="1"/>
  <c r="Y48" i="7"/>
  <c r="Z48" i="7" s="1"/>
  <c r="T48" i="7"/>
  <c r="S48" i="7"/>
  <c r="Q48" i="7"/>
  <c r="R48" i="7" s="1"/>
  <c r="O48" i="7"/>
  <c r="P48" i="7" s="1"/>
  <c r="J48" i="7"/>
  <c r="I48" i="7"/>
  <c r="H48" i="7"/>
  <c r="G48" i="7"/>
  <c r="F48" i="7"/>
  <c r="E48" i="7"/>
  <c r="AD47" i="7"/>
  <c r="AC47" i="7"/>
  <c r="AA47" i="7"/>
  <c r="AB47" i="7" s="1"/>
  <c r="Z47" i="7"/>
  <c r="Y47" i="7"/>
  <c r="T47" i="7"/>
  <c r="S47" i="7"/>
  <c r="Q47" i="7"/>
  <c r="R47" i="7" s="1"/>
  <c r="O47" i="7"/>
  <c r="P47" i="7" s="1"/>
  <c r="J47" i="7"/>
  <c r="I47" i="7"/>
  <c r="H47" i="7"/>
  <c r="G47" i="7"/>
  <c r="E47" i="7"/>
  <c r="F47" i="7" s="1"/>
  <c r="AD46" i="7"/>
  <c r="AC46" i="7"/>
  <c r="AB46" i="7"/>
  <c r="AA46" i="7"/>
  <c r="Y46" i="7"/>
  <c r="Z46" i="7" s="1"/>
  <c r="T46" i="7"/>
  <c r="S46" i="7"/>
  <c r="Q46" i="7"/>
  <c r="R46" i="7" s="1"/>
  <c r="O46" i="7"/>
  <c r="P46" i="7" s="1"/>
  <c r="J46" i="7"/>
  <c r="I46" i="7"/>
  <c r="G46" i="7"/>
  <c r="H46" i="7" s="1"/>
  <c r="E46" i="7"/>
  <c r="F46" i="7" s="1"/>
  <c r="AA45" i="7"/>
  <c r="AB45" i="7" s="1"/>
  <c r="Y45" i="7"/>
  <c r="Q45" i="7"/>
  <c r="S45" i="7" s="1"/>
  <c r="T45" i="7" s="1"/>
  <c r="O45" i="7"/>
  <c r="G45" i="7"/>
  <c r="H45" i="7" s="1"/>
  <c r="E45" i="7"/>
  <c r="AA44" i="7"/>
  <c r="AB44" i="7" s="1"/>
  <c r="Y44" i="7"/>
  <c r="S44" i="7"/>
  <c r="T44" i="7" s="1"/>
  <c r="R44" i="7"/>
  <c r="Q44" i="7"/>
  <c r="O44" i="7"/>
  <c r="H44" i="7"/>
  <c r="G44" i="7"/>
  <c r="E44" i="7"/>
  <c r="AA43" i="7"/>
  <c r="AB43" i="7" s="1"/>
  <c r="Y43" i="7"/>
  <c r="Z43" i="7" s="1"/>
  <c r="Q43" i="7"/>
  <c r="R43" i="7" s="1"/>
  <c r="O43" i="7"/>
  <c r="P43" i="7" s="1"/>
  <c r="G43" i="7"/>
  <c r="H43" i="7" s="1"/>
  <c r="E43" i="7"/>
  <c r="F43" i="7" s="1"/>
  <c r="AD42" i="7"/>
  <c r="AC42" i="7"/>
  <c r="AA42" i="7"/>
  <c r="AB42" i="7" s="1"/>
  <c r="Z42" i="7"/>
  <c r="Y42" i="7"/>
  <c r="T42" i="7"/>
  <c r="S42" i="7"/>
  <c r="Q42" i="7"/>
  <c r="R42" i="7" s="1"/>
  <c r="P42" i="7"/>
  <c r="O42" i="7"/>
  <c r="J42" i="7"/>
  <c r="I42" i="7"/>
  <c r="G42" i="7"/>
  <c r="H42" i="7" s="1"/>
  <c r="E42" i="7"/>
  <c r="F42" i="7" s="1"/>
  <c r="AD41" i="7"/>
  <c r="AC41" i="7"/>
  <c r="AB41" i="7"/>
  <c r="AA41" i="7"/>
  <c r="Y41" i="7"/>
  <c r="Z41" i="7" s="1"/>
  <c r="T41" i="7"/>
  <c r="S41" i="7"/>
  <c r="R41" i="7"/>
  <c r="Q41" i="7"/>
  <c r="O41" i="7"/>
  <c r="P41" i="7" s="1"/>
  <c r="J41" i="7"/>
  <c r="I41" i="7"/>
  <c r="G41" i="7"/>
  <c r="H41" i="7" s="1"/>
  <c r="E41" i="7"/>
  <c r="F53" i="7" s="1"/>
  <c r="AD40" i="7"/>
  <c r="AC40" i="7"/>
  <c r="AA40" i="7"/>
  <c r="Y40" i="7"/>
  <c r="Z53" i="7" s="1"/>
  <c r="T40" i="7"/>
  <c r="S40" i="7"/>
  <c r="Q40" i="7"/>
  <c r="S43" i="7" s="1"/>
  <c r="T43" i="7" s="1"/>
  <c r="O40" i="7"/>
  <c r="P40" i="7" s="1"/>
  <c r="J40" i="7"/>
  <c r="I40" i="7"/>
  <c r="H40" i="7"/>
  <c r="G40" i="7"/>
  <c r="F40" i="7"/>
  <c r="E40" i="7"/>
  <c r="W36" i="7"/>
  <c r="M36" i="7"/>
  <c r="C36" i="7"/>
  <c r="X35" i="7"/>
  <c r="N35" i="7"/>
  <c r="D35" i="7"/>
  <c r="G6" i="4" s="1"/>
  <c r="AD33" i="7"/>
  <c r="AC33" i="7"/>
  <c r="AB33" i="7"/>
  <c r="AA33" i="7"/>
  <c r="Y33" i="7"/>
  <c r="Z33" i="7" s="1"/>
  <c r="T33" i="7"/>
  <c r="S33" i="7"/>
  <c r="R33" i="7"/>
  <c r="Q33" i="7"/>
  <c r="O33" i="7"/>
  <c r="P33" i="7" s="1"/>
  <c r="J33" i="7"/>
  <c r="I33" i="7"/>
  <c r="G33" i="7"/>
  <c r="H33" i="7" s="1"/>
  <c r="E33" i="7"/>
  <c r="F33" i="7" s="1"/>
  <c r="AD32" i="7"/>
  <c r="AC32" i="7"/>
  <c r="AA32" i="7"/>
  <c r="AB32" i="7" s="1"/>
  <c r="Y32" i="7"/>
  <c r="Z32" i="7" s="1"/>
  <c r="T32" i="7"/>
  <c r="S32" i="7"/>
  <c r="Q32" i="7"/>
  <c r="R32" i="7" s="1"/>
  <c r="O32" i="7"/>
  <c r="P32" i="7" s="1"/>
  <c r="J32" i="7"/>
  <c r="I32" i="7"/>
  <c r="H32" i="7"/>
  <c r="G32" i="7"/>
  <c r="F32" i="7"/>
  <c r="E32" i="7"/>
  <c r="AD31" i="7"/>
  <c r="AC31" i="7"/>
  <c r="AA31" i="7"/>
  <c r="AB31" i="7" s="1"/>
  <c r="Z31" i="7"/>
  <c r="Y31" i="7"/>
  <c r="T31" i="7"/>
  <c r="S31" i="7"/>
  <c r="Q31" i="7"/>
  <c r="R31" i="7" s="1"/>
  <c r="O31" i="7"/>
  <c r="P31" i="7" s="1"/>
  <c r="J31" i="7"/>
  <c r="I31" i="7"/>
  <c r="H31" i="7"/>
  <c r="G31" i="7"/>
  <c r="E31" i="7"/>
  <c r="F31" i="7" s="1"/>
  <c r="AD30" i="7"/>
  <c r="AC30" i="7"/>
  <c r="AB30" i="7"/>
  <c r="AA30" i="7"/>
  <c r="Y30" i="7"/>
  <c r="Z30" i="7" s="1"/>
  <c r="T30" i="7"/>
  <c r="S30" i="7"/>
  <c r="Q30" i="7"/>
  <c r="R30" i="7" s="1"/>
  <c r="P30" i="7"/>
  <c r="O30" i="7"/>
  <c r="J30" i="7"/>
  <c r="I30" i="7"/>
  <c r="G30" i="7"/>
  <c r="H30" i="7" s="1"/>
  <c r="E30" i="7"/>
  <c r="F30" i="7" s="1"/>
  <c r="AD29" i="7"/>
  <c r="AC29" i="7"/>
  <c r="AA29" i="7"/>
  <c r="AB29" i="7" s="1"/>
  <c r="Y29" i="7"/>
  <c r="Z29" i="7" s="1"/>
  <c r="T29" i="7"/>
  <c r="S29" i="7"/>
  <c r="Q29" i="7"/>
  <c r="R29" i="7" s="1"/>
  <c r="P29" i="7"/>
  <c r="O29" i="7"/>
  <c r="J29" i="7"/>
  <c r="I29" i="7"/>
  <c r="G29" i="7"/>
  <c r="H29" i="7" s="1"/>
  <c r="F29" i="7"/>
  <c r="E29" i="7"/>
  <c r="AD28" i="7"/>
  <c r="AC28" i="7"/>
  <c r="AA28" i="7"/>
  <c r="AB28" i="7" s="1"/>
  <c r="Y28" i="7"/>
  <c r="Z28" i="7" s="1"/>
  <c r="T28" i="7"/>
  <c r="S28" i="7"/>
  <c r="R28" i="7"/>
  <c r="Q28" i="7"/>
  <c r="O28" i="7"/>
  <c r="P28" i="7" s="1"/>
  <c r="J28" i="7"/>
  <c r="I28" i="7"/>
  <c r="H28" i="7"/>
  <c r="G28" i="7"/>
  <c r="E28" i="7"/>
  <c r="F28" i="7" s="1"/>
  <c r="AA27" i="7"/>
  <c r="AB27" i="7" s="1"/>
  <c r="Y27" i="7"/>
  <c r="Q27" i="7"/>
  <c r="R27" i="7" s="1"/>
  <c r="O27" i="7"/>
  <c r="G27" i="7"/>
  <c r="H27" i="7" s="1"/>
  <c r="E27" i="7"/>
  <c r="AA26" i="7"/>
  <c r="Y26" i="7"/>
  <c r="Q26" i="7"/>
  <c r="R26" i="7" s="1"/>
  <c r="O26" i="7"/>
  <c r="G26" i="7"/>
  <c r="H26" i="7" s="1"/>
  <c r="E26" i="7"/>
  <c r="AC25" i="7"/>
  <c r="AD25" i="7" s="1"/>
  <c r="AB25" i="7"/>
  <c r="AA25" i="7"/>
  <c r="Y25" i="7"/>
  <c r="R25" i="7"/>
  <c r="Q25" i="7"/>
  <c r="O25" i="7"/>
  <c r="P25" i="7" s="1"/>
  <c r="P26" i="7" s="1"/>
  <c r="G25" i="7"/>
  <c r="H25" i="7" s="1"/>
  <c r="E25" i="7"/>
  <c r="F35" i="7" s="1"/>
  <c r="AA24" i="7"/>
  <c r="AB24" i="7" s="1"/>
  <c r="Y24" i="7"/>
  <c r="Q24" i="7"/>
  <c r="R24" i="7" s="1"/>
  <c r="O24" i="7"/>
  <c r="P24" i="7" s="1"/>
  <c r="H24" i="7"/>
  <c r="G24" i="7"/>
  <c r="E24" i="7"/>
  <c r="AA23" i="7"/>
  <c r="AB23" i="7" s="1"/>
  <c r="Y23" i="7"/>
  <c r="Q23" i="7"/>
  <c r="R23" i="7" s="1"/>
  <c r="O23" i="7"/>
  <c r="P23" i="7" s="1"/>
  <c r="I23" i="7"/>
  <c r="J23" i="7" s="1"/>
  <c r="H23" i="7"/>
  <c r="G23" i="7"/>
  <c r="E23" i="7"/>
  <c r="F23" i="7" s="1"/>
  <c r="F24" i="7" s="1"/>
  <c r="AB22" i="7"/>
  <c r="AA22" i="7"/>
  <c r="AC24" i="7" s="1"/>
  <c r="AD24" i="7" s="1"/>
  <c r="Y22" i="7"/>
  <c r="Z35" i="7" s="1"/>
  <c r="Q22" i="7"/>
  <c r="S23" i="7" s="1"/>
  <c r="T23" i="7" s="1"/>
  <c r="P22" i="7"/>
  <c r="O22" i="7"/>
  <c r="P35" i="7" s="1"/>
  <c r="J22" i="7"/>
  <c r="I22" i="7"/>
  <c r="G22" i="7"/>
  <c r="H22" i="7" s="1"/>
  <c r="E22" i="7"/>
  <c r="F22" i="7" s="1"/>
  <c r="W18" i="7"/>
  <c r="M18" i="7"/>
  <c r="C18" i="7"/>
  <c r="D17" i="7" s="1"/>
  <c r="G3" i="4" s="1"/>
  <c r="X17" i="7"/>
  <c r="N17" i="7"/>
  <c r="G8" i="4" s="1"/>
  <c r="AD15" i="7"/>
  <c r="AC15" i="7"/>
  <c r="AA15" i="7"/>
  <c r="AB15" i="7" s="1"/>
  <c r="Y15" i="7"/>
  <c r="Z15" i="7" s="1"/>
  <c r="T15" i="7"/>
  <c r="S15" i="7"/>
  <c r="Q15" i="7"/>
  <c r="R15" i="7" s="1"/>
  <c r="O15" i="7"/>
  <c r="P15" i="7" s="1"/>
  <c r="J15" i="7"/>
  <c r="I15" i="7"/>
  <c r="H15" i="7"/>
  <c r="G15" i="7"/>
  <c r="E15" i="7"/>
  <c r="F15" i="7" s="1"/>
  <c r="AD14" i="7"/>
  <c r="AC14" i="7"/>
  <c r="AA14" i="7"/>
  <c r="AB14" i="7" s="1"/>
  <c r="Y14" i="7"/>
  <c r="Z14" i="7" s="1"/>
  <c r="T14" i="7"/>
  <c r="S14" i="7"/>
  <c r="Q14" i="7"/>
  <c r="R14" i="7" s="1"/>
  <c r="P14" i="7"/>
  <c r="O14" i="7"/>
  <c r="J14" i="7"/>
  <c r="I14" i="7"/>
  <c r="G14" i="7"/>
  <c r="H14" i="7" s="1"/>
  <c r="E14" i="7"/>
  <c r="F14" i="7" s="1"/>
  <c r="AD13" i="7"/>
  <c r="AC13" i="7"/>
  <c r="AA13" i="7"/>
  <c r="AB13" i="7" s="1"/>
  <c r="Y13" i="7"/>
  <c r="Z13" i="7" s="1"/>
  <c r="T13" i="7"/>
  <c r="S13" i="7"/>
  <c r="Q13" i="7"/>
  <c r="R13" i="7" s="1"/>
  <c r="P13" i="7"/>
  <c r="O13" i="7"/>
  <c r="J13" i="7"/>
  <c r="I13" i="7"/>
  <c r="G13" i="7"/>
  <c r="H13" i="7" s="1"/>
  <c r="E13" i="7"/>
  <c r="F13" i="7" s="1"/>
  <c r="AD12" i="7"/>
  <c r="AC12" i="7"/>
  <c r="AA12" i="7"/>
  <c r="AB12" i="7" s="1"/>
  <c r="Y12" i="7"/>
  <c r="Z12" i="7" s="1"/>
  <c r="T12" i="7"/>
  <c r="S12" i="7"/>
  <c r="R12" i="7"/>
  <c r="Q12" i="7"/>
  <c r="O12" i="7"/>
  <c r="P12" i="7" s="1"/>
  <c r="J12" i="7"/>
  <c r="I12" i="7"/>
  <c r="G12" i="7"/>
  <c r="H12" i="7" s="1"/>
  <c r="E12" i="7"/>
  <c r="F12" i="7" s="1"/>
  <c r="AD11" i="7"/>
  <c r="AC11" i="7"/>
  <c r="AA11" i="7"/>
  <c r="AB11" i="7" s="1"/>
  <c r="Y11" i="7"/>
  <c r="Z11" i="7" s="1"/>
  <c r="T11" i="7"/>
  <c r="S11" i="7"/>
  <c r="Q11" i="7"/>
  <c r="R11" i="7" s="1"/>
  <c r="O11" i="7"/>
  <c r="P11" i="7" s="1"/>
  <c r="J11" i="7"/>
  <c r="I11" i="7"/>
  <c r="G11" i="7"/>
  <c r="H11" i="7" s="1"/>
  <c r="E11" i="7"/>
  <c r="F11" i="7" s="1"/>
  <c r="AD10" i="7"/>
  <c r="AC10" i="7"/>
  <c r="AB10" i="7"/>
  <c r="AA10" i="7"/>
  <c r="Z10" i="7"/>
  <c r="Y10" i="7"/>
  <c r="T10" i="7"/>
  <c r="S10" i="7"/>
  <c r="Q10" i="7"/>
  <c r="R10" i="7" s="1"/>
  <c r="O10" i="7"/>
  <c r="P10" i="7" s="1"/>
  <c r="J10" i="7"/>
  <c r="I10" i="7"/>
  <c r="G10" i="7"/>
  <c r="H10" i="7" s="1"/>
  <c r="E10" i="7"/>
  <c r="F10" i="7" s="1"/>
  <c r="AC9" i="7"/>
  <c r="AD9" i="7" s="1"/>
  <c r="AB9" i="7"/>
  <c r="AA9" i="7"/>
  <c r="Y9" i="7"/>
  <c r="Q9" i="7"/>
  <c r="R9" i="7" s="1"/>
  <c r="O9" i="7"/>
  <c r="G9" i="7"/>
  <c r="H9" i="7" s="1"/>
  <c r="E9" i="7"/>
  <c r="AA8" i="7"/>
  <c r="AB8" i="7" s="1"/>
  <c r="Y8" i="7"/>
  <c r="Q8" i="7"/>
  <c r="R8" i="7" s="1"/>
  <c r="O8" i="7"/>
  <c r="G8" i="7"/>
  <c r="E8" i="7"/>
  <c r="AA7" i="7"/>
  <c r="AB7" i="7" s="1"/>
  <c r="Y7" i="7"/>
  <c r="Q7" i="7"/>
  <c r="R7" i="7" s="1"/>
  <c r="O7" i="7"/>
  <c r="I7" i="7"/>
  <c r="J7" i="7" s="1"/>
  <c r="G7" i="7"/>
  <c r="H7" i="7" s="1"/>
  <c r="E7" i="7"/>
  <c r="AA6" i="7"/>
  <c r="AB6" i="7" s="1"/>
  <c r="Y6" i="7"/>
  <c r="Q6" i="7"/>
  <c r="R6" i="7" s="1"/>
  <c r="O6" i="7"/>
  <c r="P17" i="7" s="1"/>
  <c r="G6" i="7"/>
  <c r="H6" i="7" s="1"/>
  <c r="E6" i="7"/>
  <c r="AA5" i="7"/>
  <c r="AB5" i="7" s="1"/>
  <c r="Y5" i="7"/>
  <c r="Z5" i="7" s="1"/>
  <c r="R5" i="7"/>
  <c r="Q5" i="7"/>
  <c r="O5" i="7"/>
  <c r="G5" i="7"/>
  <c r="H5" i="7" s="1"/>
  <c r="E5" i="7"/>
  <c r="AA4" i="7"/>
  <c r="AC8" i="7" s="1"/>
  <c r="AD8" i="7" s="1"/>
  <c r="Y4" i="7"/>
  <c r="Z4" i="7" s="1"/>
  <c r="S4" i="7"/>
  <c r="T4" i="7" s="1"/>
  <c r="Q4" i="7"/>
  <c r="R4" i="7" s="1"/>
  <c r="O4" i="7"/>
  <c r="P4" i="7" s="1"/>
  <c r="G4" i="7"/>
  <c r="I6" i="7" s="1"/>
  <c r="J6" i="7" s="1"/>
  <c r="E4" i="7"/>
  <c r="F17" i="7" s="1"/>
  <c r="C17" i="6"/>
  <c r="D15" i="6"/>
  <c r="C15" i="6"/>
  <c r="J15" i="6" s="1"/>
  <c r="C4" i="3" s="1"/>
  <c r="J14" i="6"/>
  <c r="I14" i="6"/>
  <c r="G14" i="6"/>
  <c r="E14" i="6"/>
  <c r="F14" i="6" s="1"/>
  <c r="D14" i="6"/>
  <c r="C14" i="6"/>
  <c r="D13" i="6"/>
  <c r="C13" i="6"/>
  <c r="J13" i="6" s="1"/>
  <c r="J12" i="6"/>
  <c r="I12" i="6"/>
  <c r="G12" i="6"/>
  <c r="E12" i="6"/>
  <c r="F12" i="6" s="1"/>
  <c r="D12" i="6"/>
  <c r="C12" i="6"/>
  <c r="D11" i="6"/>
  <c r="C11" i="6"/>
  <c r="J11" i="6" s="1"/>
  <c r="J10" i="6"/>
  <c r="I10" i="6"/>
  <c r="G10" i="6"/>
  <c r="E10" i="6"/>
  <c r="F10" i="6" s="1"/>
  <c r="D10" i="6"/>
  <c r="C10" i="6"/>
  <c r="D9" i="6"/>
  <c r="C9" i="6"/>
  <c r="D8" i="6"/>
  <c r="G8" i="6" s="1"/>
  <c r="H8" i="6" s="1"/>
  <c r="C8" i="6"/>
  <c r="D7" i="6"/>
  <c r="C7" i="6"/>
  <c r="D6" i="6"/>
  <c r="G6" i="6" s="1"/>
  <c r="H6" i="6" s="1"/>
  <c r="C6" i="6"/>
  <c r="D5" i="6"/>
  <c r="C5" i="6"/>
  <c r="D4" i="6"/>
  <c r="C4" i="6"/>
  <c r="M28" i="5"/>
  <c r="L28" i="5"/>
  <c r="K28" i="5"/>
  <c r="J28" i="5"/>
  <c r="I28" i="5"/>
  <c r="H28" i="5"/>
  <c r="G28" i="5"/>
  <c r="F28" i="5"/>
  <c r="E28" i="5"/>
  <c r="D28" i="5"/>
  <c r="C28" i="5"/>
  <c r="B28" i="5"/>
  <c r="N27" i="5"/>
  <c r="N26" i="5"/>
  <c r="N25" i="5"/>
  <c r="N28" i="5" s="1"/>
  <c r="M21" i="5"/>
  <c r="L21" i="5"/>
  <c r="K21" i="5"/>
  <c r="J21" i="5"/>
  <c r="I21" i="5"/>
  <c r="H21" i="5"/>
  <c r="G21" i="5"/>
  <c r="F21" i="5"/>
  <c r="E21" i="5"/>
  <c r="D21" i="5"/>
  <c r="C21" i="5"/>
  <c r="B21" i="5"/>
  <c r="N20" i="5"/>
  <c r="N19" i="5"/>
  <c r="C19" i="5"/>
  <c r="N18" i="5"/>
  <c r="N21" i="5" s="1"/>
  <c r="I8" i="3" s="1"/>
  <c r="M14" i="5"/>
  <c r="L14" i="5"/>
  <c r="K14" i="5"/>
  <c r="J14" i="5"/>
  <c r="I14" i="5"/>
  <c r="H14" i="5"/>
  <c r="G14" i="5"/>
  <c r="F14" i="5"/>
  <c r="E14" i="5"/>
  <c r="D14" i="5"/>
  <c r="C14" i="5"/>
  <c r="B14" i="5"/>
  <c r="N13" i="5"/>
  <c r="N12" i="5"/>
  <c r="N11" i="5"/>
  <c r="N14" i="5" s="1"/>
  <c r="C3" i="5"/>
  <c r="G11" i="4" s="1"/>
  <c r="H11" i="4" s="1"/>
  <c r="C8" i="3" s="1"/>
  <c r="D8" i="3" s="1"/>
  <c r="E8" i="3" s="1"/>
  <c r="D21" i="4"/>
  <c r="D13" i="4" s="1"/>
  <c r="F13" i="4" s="1"/>
  <c r="K13" i="4" s="1"/>
  <c r="L13" i="4" s="1"/>
  <c r="D19" i="4"/>
  <c r="G13" i="4"/>
  <c r="G12" i="4"/>
  <c r="E11" i="4"/>
  <c r="D10" i="4"/>
  <c r="F10" i="4" s="1"/>
  <c r="K10" i="4" s="1"/>
  <c r="L10" i="4" s="1"/>
  <c r="G9" i="4"/>
  <c r="F9" i="4"/>
  <c r="K9" i="4" s="1"/>
  <c r="L9" i="4" s="1"/>
  <c r="D9" i="4"/>
  <c r="C9" i="4"/>
  <c r="D8" i="4"/>
  <c r="F8" i="4" s="1"/>
  <c r="K8" i="4" s="1"/>
  <c r="L8" i="4" s="1"/>
  <c r="C8" i="4"/>
  <c r="G7" i="4"/>
  <c r="F7" i="4"/>
  <c r="K7" i="4" s="1"/>
  <c r="L7" i="4" s="1"/>
  <c r="D7" i="4"/>
  <c r="C7" i="4"/>
  <c r="D6" i="4"/>
  <c r="F6" i="4" s="1"/>
  <c r="K6" i="4" s="1"/>
  <c r="L6" i="4" s="1"/>
  <c r="C6" i="4"/>
  <c r="G5" i="4"/>
  <c r="F5" i="4"/>
  <c r="K5" i="4" s="1"/>
  <c r="D5" i="4"/>
  <c r="C5" i="4"/>
  <c r="D4" i="4"/>
  <c r="F4" i="4" s="1"/>
  <c r="K4" i="4" s="1"/>
  <c r="L4" i="4" s="1"/>
  <c r="C4" i="4"/>
  <c r="K3" i="4"/>
  <c r="L3" i="4" s="1"/>
  <c r="E3" i="4"/>
  <c r="D3" i="4"/>
  <c r="F3" i="4" s="1"/>
  <c r="C3" i="4"/>
  <c r="L6" i="3"/>
  <c r="H63" i="2"/>
  <c r="G63" i="2"/>
  <c r="F63" i="2"/>
  <c r="N7" i="2" s="1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B62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Q60" i="2"/>
  <c r="P60" i="2"/>
  <c r="O60" i="2"/>
  <c r="N60" i="2"/>
  <c r="M60" i="2"/>
  <c r="L60" i="2"/>
  <c r="K60" i="2"/>
  <c r="J60" i="2"/>
  <c r="I60" i="2"/>
  <c r="H60" i="2"/>
  <c r="G60" i="2"/>
  <c r="R60" i="2" s="1"/>
  <c r="F60" i="2"/>
  <c r="E60" i="2"/>
  <c r="D60" i="2"/>
  <c r="C60" i="2"/>
  <c r="B60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Q54" i="2"/>
  <c r="P54" i="2"/>
  <c r="P63" i="2" s="1"/>
  <c r="O54" i="2"/>
  <c r="O63" i="2" s="1"/>
  <c r="O11" i="2" s="1"/>
  <c r="N54" i="2"/>
  <c r="M54" i="2"/>
  <c r="L54" i="2"/>
  <c r="K54" i="2"/>
  <c r="J54" i="2"/>
  <c r="I54" i="2"/>
  <c r="H54" i="2"/>
  <c r="G54" i="2"/>
  <c r="F54" i="2"/>
  <c r="E54" i="2"/>
  <c r="E63" i="2" s="1"/>
  <c r="N6" i="2" s="1"/>
  <c r="D54" i="2"/>
  <c r="D63" i="2" s="1"/>
  <c r="N5" i="2" s="1"/>
  <c r="C54" i="2"/>
  <c r="C63" i="2" s="1"/>
  <c r="B54" i="2"/>
  <c r="R48" i="2"/>
  <c r="B48" i="2"/>
  <c r="R47" i="2"/>
  <c r="B47" i="2"/>
  <c r="R46" i="2"/>
  <c r="B46" i="2"/>
  <c r="R45" i="2"/>
  <c r="B45" i="2"/>
  <c r="R44" i="2"/>
  <c r="B44" i="2"/>
  <c r="R43" i="2"/>
  <c r="B43" i="2"/>
  <c r="R42" i="2"/>
  <c r="B42" i="2"/>
  <c r="R41" i="2"/>
  <c r="B41" i="2"/>
  <c r="R40" i="2"/>
  <c r="B40" i="2"/>
  <c r="G13" i="2"/>
  <c r="F13" i="2"/>
  <c r="E13" i="2"/>
  <c r="C13" i="2"/>
  <c r="C62" i="2" s="1"/>
  <c r="D12" i="2"/>
  <c r="D11" i="2"/>
  <c r="D10" i="2"/>
  <c r="D9" i="2"/>
  <c r="D8" i="2"/>
  <c r="D7" i="2"/>
  <c r="D6" i="2"/>
  <c r="D5" i="2"/>
  <c r="D13" i="2" s="1"/>
  <c r="I9" i="3" l="1"/>
  <c r="L63" i="2"/>
  <c r="R56" i="2"/>
  <c r="P3" i="4"/>
  <c r="S6" i="7"/>
  <c r="T6" i="7" s="1"/>
  <c r="S9" i="7"/>
  <c r="T9" i="7" s="1"/>
  <c r="S5" i="7"/>
  <c r="T5" i="7" s="1"/>
  <c r="S8" i="7"/>
  <c r="T8" i="7" s="1"/>
  <c r="S7" i="7"/>
  <c r="T7" i="7" s="1"/>
  <c r="Q17" i="7"/>
  <c r="E6" i="6"/>
  <c r="I9" i="7"/>
  <c r="J9" i="7" s="1"/>
  <c r="I8" i="7"/>
  <c r="J8" i="7" s="1"/>
  <c r="G17" i="7"/>
  <c r="AC27" i="7"/>
  <c r="AD27" i="7" s="1"/>
  <c r="AC26" i="7"/>
  <c r="AD26" i="7" s="1"/>
  <c r="AA53" i="7"/>
  <c r="Z44" i="7"/>
  <c r="Z45" i="7" s="1"/>
  <c r="L5" i="4"/>
  <c r="H12" i="6"/>
  <c r="H8" i="7"/>
  <c r="F25" i="7"/>
  <c r="AB26" i="7"/>
  <c r="N63" i="2"/>
  <c r="R54" i="2"/>
  <c r="H3" i="4"/>
  <c r="G14" i="4"/>
  <c r="I12" i="4" s="1"/>
  <c r="P27" i="7"/>
  <c r="F41" i="7"/>
  <c r="AC45" i="7"/>
  <c r="AD45" i="7" s="1"/>
  <c r="AC44" i="7"/>
  <c r="AD44" i="7" s="1"/>
  <c r="AC43" i="7"/>
  <c r="AD43" i="7" s="1"/>
  <c r="E8" i="6"/>
  <c r="Z6" i="7"/>
  <c r="Z7" i="7" s="1"/>
  <c r="Z8" i="7" s="1"/>
  <c r="Z9" i="7" s="1"/>
  <c r="R61" i="2"/>
  <c r="R45" i="7"/>
  <c r="D23" i="9"/>
  <c r="I45" i="7"/>
  <c r="J45" i="7" s="1"/>
  <c r="I44" i="7"/>
  <c r="J44" i="7" s="1"/>
  <c r="G53" i="7"/>
  <c r="I43" i="7"/>
  <c r="J43" i="7" s="1"/>
  <c r="C64" i="2"/>
  <c r="N4" i="2"/>
  <c r="O4" i="2" s="1"/>
  <c r="C18" i="6"/>
  <c r="D17" i="6" s="1"/>
  <c r="C7" i="3" s="1"/>
  <c r="G4" i="6"/>
  <c r="F44" i="7"/>
  <c r="F45" i="7" s="1"/>
  <c r="R59" i="2"/>
  <c r="I63" i="2"/>
  <c r="G64" i="2" s="1"/>
  <c r="E4" i="6"/>
  <c r="H10" i="6"/>
  <c r="H14" i="6"/>
  <c r="M63" i="2"/>
  <c r="R55" i="2"/>
  <c r="G35" i="7"/>
  <c r="I25" i="7"/>
  <c r="J25" i="7" s="1"/>
  <c r="I24" i="7"/>
  <c r="J24" i="7" s="1"/>
  <c r="I27" i="7"/>
  <c r="J27" i="7" s="1"/>
  <c r="I26" i="7"/>
  <c r="J26" i="7" s="1"/>
  <c r="I7" i="4"/>
  <c r="R58" i="2"/>
  <c r="J63" i="2"/>
  <c r="K63" i="2"/>
  <c r="R57" i="2"/>
  <c r="P5" i="7"/>
  <c r="P6" i="7" s="1"/>
  <c r="P7" i="7" s="1"/>
  <c r="P8" i="7" s="1"/>
  <c r="P9" i="7" s="1"/>
  <c r="F26" i="7"/>
  <c r="F27" i="7" s="1"/>
  <c r="P44" i="7"/>
  <c r="P45" i="7" s="1"/>
  <c r="Q35" i="7"/>
  <c r="R22" i="7"/>
  <c r="S24" i="7"/>
  <c r="T24" i="7" s="1"/>
  <c r="E5" i="6"/>
  <c r="F4" i="7"/>
  <c r="F5" i="7" s="1"/>
  <c r="F6" i="7" s="1"/>
  <c r="F7" i="7" s="1"/>
  <c r="F8" i="7" s="1"/>
  <c r="F9" i="7" s="1"/>
  <c r="D3" i="5"/>
  <c r="E11" i="6"/>
  <c r="F11" i="6" s="1"/>
  <c r="I4" i="7"/>
  <c r="J4" i="7" s="1"/>
  <c r="AC6" i="7"/>
  <c r="AD6" i="7" s="1"/>
  <c r="AC22" i="7"/>
  <c r="AD22" i="7" s="1"/>
  <c r="S25" i="7"/>
  <c r="T25" i="7" s="1"/>
  <c r="AA35" i="7"/>
  <c r="P53" i="7"/>
  <c r="S22" i="7"/>
  <c r="T22" i="7" s="1"/>
  <c r="AA17" i="7"/>
  <c r="Z22" i="7"/>
  <c r="Z23" i="7" s="1"/>
  <c r="Z24" i="7" s="1"/>
  <c r="Z25" i="7" s="1"/>
  <c r="Z26" i="7" s="1"/>
  <c r="Z27" i="7" s="1"/>
  <c r="E7" i="6"/>
  <c r="Q62" i="2"/>
  <c r="R62" i="2" s="1"/>
  <c r="G5" i="6"/>
  <c r="H5" i="6" s="1"/>
  <c r="G7" i="6"/>
  <c r="H7" i="6" s="1"/>
  <c r="G9" i="6"/>
  <c r="H9" i="6" s="1"/>
  <c r="G11" i="6"/>
  <c r="H11" i="6" s="1"/>
  <c r="G13" i="6"/>
  <c r="H13" i="6" s="1"/>
  <c r="G15" i="6"/>
  <c r="H15" i="6" s="1"/>
  <c r="Z40" i="7"/>
  <c r="Q53" i="7"/>
  <c r="Z17" i="7"/>
  <c r="E15" i="6"/>
  <c r="F15" i="6" s="1"/>
  <c r="C3" i="3" s="1"/>
  <c r="D11" i="4"/>
  <c r="F11" i="4" s="1"/>
  <c r="K11" i="4" s="1"/>
  <c r="L11" i="4" s="1"/>
  <c r="M3" i="4" s="1"/>
  <c r="C6" i="5"/>
  <c r="I5" i="7"/>
  <c r="J5" i="7" s="1"/>
  <c r="AC7" i="7"/>
  <c r="AD7" i="7" s="1"/>
  <c r="AC23" i="7"/>
  <c r="AD23" i="7" s="1"/>
  <c r="S26" i="7"/>
  <c r="T26" i="7" s="1"/>
  <c r="D12" i="4"/>
  <c r="F12" i="4" s="1"/>
  <c r="K12" i="4" s="1"/>
  <c r="L12" i="4" s="1"/>
  <c r="AC5" i="7"/>
  <c r="AD5" i="7" s="1"/>
  <c r="E9" i="6"/>
  <c r="H4" i="7"/>
  <c r="I11" i="6"/>
  <c r="I13" i="6"/>
  <c r="I15" i="6"/>
  <c r="AB40" i="7"/>
  <c r="AB4" i="7"/>
  <c r="AC4" i="7"/>
  <c r="AD4" i="7" s="1"/>
  <c r="R40" i="7"/>
  <c r="E13" i="6"/>
  <c r="F13" i="6" s="1"/>
  <c r="S27" i="7"/>
  <c r="T27" i="7" s="1"/>
  <c r="N8" i="2" l="1"/>
  <c r="N13" i="4"/>
  <c r="N10" i="4"/>
  <c r="N9" i="4"/>
  <c r="N8" i="4"/>
  <c r="N4" i="4"/>
  <c r="N3" i="4"/>
  <c r="N7" i="4"/>
  <c r="N6" i="4"/>
  <c r="I3" i="4"/>
  <c r="R63" i="2"/>
  <c r="I10" i="4"/>
  <c r="I11" i="4"/>
  <c r="H8" i="3"/>
  <c r="I4" i="6"/>
  <c r="J4" i="6" s="1"/>
  <c r="I8" i="6"/>
  <c r="J8" i="6" s="1"/>
  <c r="I6" i="6"/>
  <c r="J6" i="6" s="1"/>
  <c r="H4" i="6"/>
  <c r="G17" i="6"/>
  <c r="Q63" i="2"/>
  <c r="P64" i="2" s="1"/>
  <c r="O12" i="2" s="1"/>
  <c r="C9" i="3"/>
  <c r="I4" i="4"/>
  <c r="F4" i="6"/>
  <c r="F17" i="6"/>
  <c r="F5" i="6"/>
  <c r="F6" i="6" s="1"/>
  <c r="F7" i="6" s="1"/>
  <c r="F8" i="6" s="1"/>
  <c r="F9" i="6" s="1"/>
  <c r="I5" i="4"/>
  <c r="N11" i="4"/>
  <c r="P11" i="4"/>
  <c r="I6" i="4"/>
  <c r="I8" i="4"/>
  <c r="I9" i="4"/>
  <c r="M64" i="2"/>
  <c r="O10" i="2" s="1"/>
  <c r="N5" i="4"/>
  <c r="N12" i="4"/>
  <c r="D5" i="5"/>
  <c r="D4" i="5"/>
  <c r="D6" i="5" s="1"/>
  <c r="I9" i="6"/>
  <c r="J9" i="6" s="1"/>
  <c r="I7" i="6"/>
  <c r="J7" i="6" s="1"/>
  <c r="J64" i="2"/>
  <c r="N9" i="2" s="1"/>
  <c r="I13" i="4"/>
  <c r="I5" i="6"/>
  <c r="J5" i="6" s="1"/>
  <c r="J11" i="4" l="1"/>
  <c r="H17" i="6"/>
  <c r="G20" i="6"/>
  <c r="H11" i="3"/>
  <c r="H10" i="3"/>
  <c r="H9" i="3"/>
  <c r="J3" i="4"/>
  <c r="D7" i="3"/>
  <c r="O8" i="2"/>
  <c r="O14" i="2" s="1"/>
  <c r="G65" i="2"/>
  <c r="E7" i="3" l="1"/>
  <c r="F7" i="3" s="1"/>
  <c r="D9" i="3"/>
  <c r="D11" i="3" s="1"/>
  <c r="E11" i="3" l="1"/>
  <c r="L7" i="3"/>
  <c r="M7" i="3" s="1"/>
</calcChain>
</file>

<file path=xl/sharedStrings.xml><?xml version="1.0" encoding="utf-8"?>
<sst xmlns="http://schemas.openxmlformats.org/spreadsheetml/2006/main" count="305" uniqueCount="123">
  <si>
    <t>ES0110407097</t>
  </si>
  <si>
    <t>Baelo</t>
  </si>
  <si>
    <t>ES0173985005</t>
  </si>
  <si>
    <t>River Patrimonio</t>
  </si>
  <si>
    <t>ES0156572002</t>
  </si>
  <si>
    <t>River CP</t>
  </si>
  <si>
    <t>IE00B03HD209</t>
  </si>
  <si>
    <t>Vanguard Global Stk</t>
  </si>
  <si>
    <t>LU0690375182</t>
  </si>
  <si>
    <t>Fundsmith Equity T</t>
  </si>
  <si>
    <t>LU0583242994</t>
  </si>
  <si>
    <t>MFS Prudent Wealth</t>
  </si>
  <si>
    <t>ES0180782007</t>
  </si>
  <si>
    <t>True Capital</t>
  </si>
  <si>
    <t>ES0180792006</t>
  </si>
  <si>
    <t>True Value</t>
  </si>
  <si>
    <t>ES0173130008</t>
  </si>
  <si>
    <t>Renta 4 Energia renobables hidrogeno</t>
  </si>
  <si>
    <t>ES0106072004</t>
  </si>
  <si>
    <t>AFFINIUM INTERNACIONAL FI</t>
  </si>
  <si>
    <t>intervencion de bancos centrales, growth, si no value</t>
  </si>
  <si>
    <t>Activos</t>
  </si>
  <si>
    <t>Pesos</t>
  </si>
  <si>
    <t>TER</t>
  </si>
  <si>
    <t>Rent Esperada</t>
  </si>
  <si>
    <t>Volatilidad</t>
  </si>
  <si>
    <t>Sharpe</t>
  </si>
  <si>
    <t>RV</t>
  </si>
  <si>
    <t>DGI</t>
  </si>
  <si>
    <t>Baelo Patrimonio</t>
  </si>
  <si>
    <t>Global</t>
  </si>
  <si>
    <t>Affinium</t>
  </si>
  <si>
    <t>Growth</t>
  </si>
  <si>
    <t>Value</t>
  </si>
  <si>
    <t>RF</t>
  </si>
  <si>
    <t>Corto</t>
  </si>
  <si>
    <t>Largo</t>
  </si>
  <si>
    <t>Oro</t>
  </si>
  <si>
    <t>MFS - Prudent Wealth Fund A1</t>
  </si>
  <si>
    <t>Reits</t>
  </si>
  <si>
    <t>Cash</t>
  </si>
  <si>
    <t>https://olvidatedetucerdito.com/radar-fondos-mixtos/</t>
  </si>
  <si>
    <t>Royalties</t>
  </si>
  <si>
    <t>Puro</t>
  </si>
  <si>
    <t>Dinero</t>
  </si>
  <si>
    <t>Inflation linked</t>
  </si>
  <si>
    <t>EUR</t>
  </si>
  <si>
    <t>US</t>
  </si>
  <si>
    <t>Años invertido</t>
  </si>
  <si>
    <t>TAE Cartera</t>
  </si>
  <si>
    <t>MWR Acum</t>
  </si>
  <si>
    <t>Bruto</t>
  </si>
  <si>
    <t>Neto</t>
  </si>
  <si>
    <t>Ganancias generales</t>
  </si>
  <si>
    <t>1 de enero 2021</t>
  </si>
  <si>
    <t>Invertido</t>
  </si>
  <si>
    <t>Ganancia cartera</t>
  </si>
  <si>
    <t>Ganancia cuentas</t>
  </si>
  <si>
    <t>1 de enero 2022</t>
  </si>
  <si>
    <t>Cuentas</t>
  </si>
  <si>
    <t>Patrimonio</t>
  </si>
  <si>
    <t>Total</t>
  </si>
  <si>
    <t>Media</t>
  </si>
  <si>
    <t>Meses invertido</t>
  </si>
  <si>
    <t>Peso objetivo</t>
  </si>
  <si>
    <t>Valor actual</t>
  </si>
  <si>
    <t>Peso actual</t>
  </si>
  <si>
    <t>Valor deseado</t>
  </si>
  <si>
    <t>Rebalanceo</t>
  </si>
  <si>
    <t>Fondos</t>
  </si>
  <si>
    <t>MyInvestor</t>
  </si>
  <si>
    <t>Orange Bank</t>
  </si>
  <si>
    <t>Renault</t>
  </si>
  <si>
    <t>€€</t>
  </si>
  <si>
    <t>Aportado</t>
  </si>
  <si>
    <t>Peso</t>
  </si>
  <si>
    <t>PiBank</t>
  </si>
  <si>
    <t>TOTAL</t>
  </si>
  <si>
    <t>Ganancia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</si>
  <si>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</si>
  <si>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</si>
  <si>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</si>
  <si>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</si>
  <si>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</si>
  <si>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</si>
  <si>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</si>
  <si>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</si>
  <si>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</si>
  <si>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</si>
  <si>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</si>
  <si>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</si>
  <si>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General</t>
  </si>
  <si>
    <t>Fecha</t>
  </si>
  <si>
    <t>Valor de la inversión</t>
  </si>
  <si>
    <t>Aportaciones / Retiradas</t>
  </si>
  <si>
    <t>TWR</t>
  </si>
  <si>
    <t>TWR Acum</t>
  </si>
  <si>
    <t>MWR</t>
  </si>
  <si>
    <t>Inicial (dic año ant)</t>
  </si>
  <si>
    <t>Suma</t>
  </si>
  <si>
    <t>JPM Technology</t>
  </si>
  <si>
    <t>Hidro</t>
  </si>
  <si>
    <t>Apertura MyInvestor</t>
  </si>
  <si>
    <t>Empiezo a invertir (en indexa)</t>
  </si>
  <si>
    <t>Crecimiento: Acciones</t>
  </si>
  <si>
    <t>Recesión: liquidez</t>
  </si>
  <si>
    <t>Inflación: Oro</t>
  </si>
  <si>
    <t>Deflacion: RF</t>
  </si>
  <si>
    <t>Nombre del fondo</t>
  </si>
  <si>
    <t>Isdin</t>
  </si>
  <si>
    <t>Código Mstar</t>
  </si>
  <si>
    <t>% cartera</t>
  </si>
  <si>
    <t>F0000107JE</t>
  </si>
  <si>
    <t>F00000ZJ1W</t>
  </si>
  <si>
    <t>F0GBR04SKK</t>
  </si>
  <si>
    <t>F00000OHVY</t>
  </si>
  <si>
    <t>F00000M0UD</t>
  </si>
  <si>
    <t>F00000SC7Y</t>
  </si>
  <si>
    <t>F000016K5L</t>
  </si>
  <si>
    <t>Link</t>
  </si>
  <si>
    <t>X-RAY web link(novedad):</t>
  </si>
  <si>
    <t>https://lt.morningstar.com/j2uwuwirpv/xraypdf/default.aspx?LanguageId=es-ES&amp;CurrencyId=EUR&amp;securityIds=F0000107JE%7CF00000ZJ1W%7CF00000OHVY%7CF00000M0UD%7CF00000SC7Y%7CF000016K5L%7CF0GBR04SKK%7C&amp;marketValues=15%7C50%7C5%7C5%7C5%7C10%7C10%7C&amp;typeids=FO%7CFO%7CFO%7CFO%7CFO%7CFO%7CFO%7C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</si>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</sst>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0.0%"/>
    <numFmt numFmtId="165" formatCode="#,##0.00\ [$€-1]"/>
    <numFmt numFmtId="166" formatCode="d/m"/>
    <numFmt numFmtId="167" formatCode="#,##0.00\ &quot;€&quot;"/>
    <numFmt numFmtId="168" formatCode="0.000%"/>
    <numFmt numFmtId="169" formatCode="#,##0\ [$€-1]"/>
    <numFmt numFmtId="170" formatCode="d/mm/yyyy"/>
    <numFmt numFmtId="171" formatCode="&quot;€&quot;#,##0.00_);[Red]\(&quot;€&quot;#,##0.00\)"/>
    <numFmt numFmtId="172" formatCode="&quot;€&quot;#,##0_);[Red]\(&quot;€&quot;#,##0\)"/>
    <numFmt numFmtId="173" formatCode="#,##0.00\ &quot;€&quot;;[Red]#,##0.00\ &quot;€&quot;"/>
    <numFmt numFmtId="174" formatCode="_(&quot;€&quot;* #,##0.00_);_(&quot;€&quot;* \(#,##0.00\);_(&quot;€&quot;* &quot;-&quot;??_);_(@_)"/>
    <numFmt numFmtId="175" formatCode="#,##0.00&quot;€&quot;"/>
  </numFmts>
  <fonts count="23" x14ac:knownFonts="1">
    <font>
      <sz val="10"/>
      <color rgb="FF000000"/>
      <name val="Arial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2"/>
      <color rgb="FF000000"/>
      <name val="Roboto"/>
    </font>
    <font>
      <u/>
      <sz val="10"/>
      <color theme="10"/>
      <name val="Arial"/>
      <family val="2"/>
    </font>
    <font>
      <sz val="10"/>
      <color theme="1"/>
      <name val="Roboto"/>
    </font>
    <font>
      <sz val="10"/>
      <color theme="0"/>
      <name val="Arial"/>
      <family val="2"/>
    </font>
    <font>
      <sz val="10"/>
      <name val="Arial"/>
      <family val="2"/>
    </font>
    <font>
      <sz val="12"/>
      <color theme="1"/>
      <name val="Roboto"/>
    </font>
    <font>
      <sz val="12"/>
      <color theme="1"/>
      <name val="Arial"/>
      <family val="2"/>
    </font>
    <font>
      <u/>
      <sz val="10"/>
      <color rgb="FF0000FF"/>
      <name val="Arial"/>
      <family val="2"/>
    </font>
    <font>
      <sz val="12"/>
      <color rgb="FF000000"/>
      <name val="Arial"/>
      <family val="2"/>
    </font>
    <font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3A3A3A"/>
      <name val="Arial"/>
      <family val="2"/>
    </font>
    <font>
      <b/>
      <sz val="11"/>
      <color rgb="FF000000"/>
      <name val="Arial"/>
      <family val="2"/>
    </font>
    <font>
      <u/>
      <sz val="11"/>
      <color theme="1"/>
      <name val="Arial"/>
      <family val="2"/>
    </font>
    <font>
      <u/>
      <sz val="11"/>
      <color rgb="FF0000FF"/>
      <name val="Arial"/>
      <family val="2"/>
    </font>
    <font>
      <sz val="11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EFEFEF"/>
        <bgColor rgb="FFEFEFEF"/>
      </patternFill>
    </fill>
    <fill>
      <patternFill patternType="solid">
        <fgColor rgb="FFFFFFFF"/>
        <bgColor rgb="FFFFFFFF"/>
      </patternFill>
    </fill>
    <fill>
      <patternFill patternType="solid">
        <fgColor rgb="FFCCCCCC"/>
        <bgColor rgb="FFCCCCCC"/>
      </patternFill>
    </fill>
    <fill>
      <patternFill patternType="solid">
        <fgColor rgb="FF434343"/>
        <bgColor rgb="FF434343"/>
      </patternFill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6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">
    <xf numFmtId="0" fontId="0" fillId="0" borderId="0"/>
    <xf numFmtId="174" fontId="4" fillId="0" borderId="0"/>
    <xf numFmtId="9" fontId="4" fillId="0" borderId="0"/>
    <xf numFmtId="0" fontId="6" fillId="0" borderId="0"/>
  </cellStyleXfs>
  <cellXfs count="236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7" fillId="0" borderId="47" xfId="0" applyFont="1" applyBorder="1" applyAlignment="1">
      <alignment wrapText="1"/>
    </xf>
    <xf numFmtId="0" fontId="7" fillId="0" borderId="47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0" fillId="0" borderId="0" xfId="0" applyAlignment="1">
      <alignment wrapText="1"/>
    </xf>
    <xf numFmtId="0" fontId="5" fillId="0" borderId="47" xfId="0" applyFont="1" applyBorder="1" applyAlignment="1">
      <alignment horizontal="left" wrapText="1"/>
    </xf>
    <xf numFmtId="0" fontId="5" fillId="0" borderId="47" xfId="0" applyFont="1" applyBorder="1" applyAlignment="1">
      <alignment horizontal="center" wrapText="1"/>
    </xf>
    <xf numFmtId="2" fontId="5" fillId="0" borderId="47" xfId="0" applyNumberFormat="1" applyFont="1" applyBorder="1" applyAlignment="1">
      <alignment horizontal="center" wrapText="1"/>
    </xf>
    <xf numFmtId="0" fontId="3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10" fillId="0" borderId="47" xfId="0" applyFont="1" applyBorder="1" applyAlignment="1">
      <alignment wrapText="1"/>
    </xf>
    <xf numFmtId="0" fontId="10" fillId="0" borderId="0" xfId="0" applyFont="1" applyAlignment="1">
      <alignment wrapText="1"/>
    </xf>
    <xf numFmtId="0" fontId="7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0" xfId="0" applyFont="1" applyAlignment="1">
      <alignment wrapText="1"/>
    </xf>
    <xf numFmtId="0" fontId="6" fillId="0" borderId="0" xfId="3" applyAlignment="1">
      <alignment wrapText="1"/>
    </xf>
    <xf numFmtId="0" fontId="6" fillId="0" borderId="0" xfId="3"/>
    <xf numFmtId="0" fontId="9" fillId="0" borderId="0" xfId="0" applyFont="1"/>
    <xf numFmtId="0" fontId="13" fillId="0" borderId="0" xfId="0" applyFont="1" applyAlignment="1">
      <alignment wrapText="1"/>
    </xf>
    <xf numFmtId="49" fontId="6" fillId="0" borderId="0" xfId="3" applyNumberFormat="1" applyAlignment="1">
      <alignment wrapText="1"/>
    </xf>
    <xf numFmtId="0" fontId="16" fillId="0" borderId="0" xfId="0" applyFont="1"/>
    <xf numFmtId="0" fontId="17" fillId="2" borderId="22" xfId="0" applyFont="1" applyFill="1" applyBorder="1" applyAlignment="1">
      <alignment horizontal="center" vertical="center" wrapText="1"/>
    </xf>
    <xf numFmtId="10" fontId="16" fillId="0" borderId="4" xfId="0" applyNumberFormat="1" applyFont="1" applyBorder="1" applyAlignment="1">
      <alignment horizontal="center" vertical="center"/>
    </xf>
    <xf numFmtId="10" fontId="16" fillId="0" borderId="27" xfId="0" applyNumberFormat="1" applyFont="1" applyBorder="1" applyAlignment="1">
      <alignment horizontal="center" vertical="center"/>
    </xf>
    <xf numFmtId="10" fontId="16" fillId="0" borderId="0" xfId="0" applyNumberFormat="1" applyFont="1"/>
    <xf numFmtId="10" fontId="16" fillId="0" borderId="20" xfId="0" applyNumberFormat="1" applyFont="1" applyBorder="1" applyAlignment="1">
      <alignment horizontal="center" vertical="center"/>
    </xf>
    <xf numFmtId="10" fontId="17" fillId="0" borderId="20" xfId="0" applyNumberFormat="1" applyFont="1" applyBorder="1" applyAlignment="1">
      <alignment horizontal="center" vertical="center"/>
    </xf>
    <xf numFmtId="10" fontId="17" fillId="0" borderId="21" xfId="0" applyNumberFormat="1" applyFont="1" applyBorder="1" applyAlignment="1">
      <alignment horizontal="center" vertical="center"/>
    </xf>
    <xf numFmtId="10" fontId="16" fillId="0" borderId="52" xfId="0" applyNumberFormat="1" applyFont="1" applyBorder="1" applyAlignment="1">
      <alignment horizontal="center" vertical="center"/>
    </xf>
    <xf numFmtId="10" fontId="16" fillId="0" borderId="53" xfId="0" applyNumberFormat="1" applyFont="1" applyBorder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  <xf numFmtId="10" fontId="16" fillId="0" borderId="21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0" fontId="17" fillId="0" borderId="52" xfId="0" applyNumberFormat="1" applyFont="1" applyBorder="1" applyAlignment="1">
      <alignment horizontal="center" vertical="center"/>
    </xf>
    <xf numFmtId="10" fontId="17" fillId="0" borderId="53" xfId="0" applyNumberFormat="1" applyFont="1" applyBorder="1" applyAlignment="1">
      <alignment horizontal="center" vertical="center"/>
    </xf>
    <xf numFmtId="0" fontId="17" fillId="2" borderId="28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 wrapText="1"/>
    </xf>
    <xf numFmtId="10" fontId="16" fillId="2" borderId="22" xfId="0" applyNumberFormat="1" applyFont="1" applyFill="1" applyBorder="1" applyAlignment="1">
      <alignment horizontal="center" vertical="center"/>
    </xf>
    <xf numFmtId="10" fontId="16" fillId="2" borderId="24" xfId="0" applyNumberFormat="1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 wrapText="1"/>
    </xf>
    <xf numFmtId="10" fontId="16" fillId="2" borderId="26" xfId="0" applyNumberFormat="1" applyFont="1" applyFill="1" applyBorder="1" applyAlignment="1">
      <alignment horizontal="center" vertical="center"/>
    </xf>
    <xf numFmtId="10" fontId="16" fillId="2" borderId="27" xfId="0" applyNumberFormat="1" applyFont="1" applyFill="1" applyBorder="1" applyAlignment="1">
      <alignment horizontal="center" vertical="center"/>
    </xf>
    <xf numFmtId="10" fontId="16" fillId="2" borderId="15" xfId="0" applyNumberFormat="1" applyFont="1" applyFill="1" applyBorder="1" applyAlignment="1">
      <alignment horizontal="center" vertical="center"/>
    </xf>
    <xf numFmtId="10" fontId="16" fillId="2" borderId="16" xfId="0" applyNumberFormat="1" applyFont="1" applyFill="1" applyBorder="1" applyAlignment="1">
      <alignment horizontal="center" vertical="center"/>
    </xf>
    <xf numFmtId="10" fontId="16" fillId="2" borderId="19" xfId="0" applyNumberFormat="1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 wrapText="1"/>
    </xf>
    <xf numFmtId="10" fontId="16" fillId="2" borderId="25" xfId="0" applyNumberFormat="1" applyFont="1" applyFill="1" applyBorder="1" applyAlignment="1">
      <alignment horizontal="center" vertical="center"/>
    </xf>
    <xf numFmtId="0" fontId="19" fillId="2" borderId="63" xfId="0" applyFont="1" applyFill="1" applyBorder="1" applyAlignment="1">
      <alignment horizontal="center" vertical="center" wrapText="1"/>
    </xf>
    <xf numFmtId="10" fontId="16" fillId="2" borderId="9" xfId="0" applyNumberFormat="1" applyFont="1" applyFill="1" applyBorder="1" applyAlignment="1">
      <alignment horizontal="center" vertical="center"/>
    </xf>
    <xf numFmtId="0" fontId="19" fillId="2" borderId="64" xfId="0" applyFont="1" applyFill="1" applyBorder="1" applyAlignment="1">
      <alignment horizontal="center" vertical="center" wrapText="1"/>
    </xf>
    <xf numFmtId="10" fontId="16" fillId="2" borderId="21" xfId="0" applyNumberFormat="1" applyFont="1" applyFill="1" applyBorder="1" applyAlignment="1">
      <alignment horizontal="center" vertical="center"/>
    </xf>
    <xf numFmtId="10" fontId="16" fillId="2" borderId="62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6" fillId="5" borderId="40" xfId="0" applyFont="1" applyFill="1" applyBorder="1"/>
    <xf numFmtId="0" fontId="16" fillId="5" borderId="41" xfId="0" applyFont="1" applyFill="1" applyBorder="1"/>
    <xf numFmtId="0" fontId="16" fillId="5" borderId="42" xfId="0" applyFont="1" applyFill="1" applyBorder="1"/>
    <xf numFmtId="0" fontId="17" fillId="2" borderId="4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6" fillId="0" borderId="4" xfId="0" applyFont="1" applyBorder="1"/>
    <xf numFmtId="0" fontId="17" fillId="0" borderId="4" xfId="0" applyFont="1" applyBorder="1" applyAlignment="1">
      <alignment vertical="center"/>
    </xf>
    <xf numFmtId="0" fontId="17" fillId="0" borderId="4" xfId="0" applyFont="1" applyBorder="1"/>
    <xf numFmtId="10" fontId="16" fillId="0" borderId="0" xfId="2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0" fillId="0" borderId="0" xfId="0" applyFont="1"/>
    <xf numFmtId="14" fontId="14" fillId="0" borderId="0" xfId="0" applyNumberFormat="1" applyFon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 vertical="center"/>
    </xf>
    <xf numFmtId="0" fontId="0" fillId="0" borderId="0" xfId="0"/>
    <xf numFmtId="0" fontId="21" fillId="0" borderId="0" xfId="0" applyFont="1"/>
    <xf numFmtId="0" fontId="16" fillId="0" borderId="0" xfId="0" applyFont="1" applyAlignment="1">
      <alignment horizontal="left" vertical="center"/>
    </xf>
    <xf numFmtId="0" fontId="17" fillId="2" borderId="8" xfId="0" applyFont="1" applyFill="1" applyBorder="1" applyAlignment="1">
      <alignment horizontal="center" vertical="center"/>
    </xf>
    <xf numFmtId="0" fontId="16" fillId="0" borderId="54" xfId="0" applyFont="1" applyBorder="1" applyAlignment="1">
      <alignment horizontal="center" vertical="center"/>
    </xf>
    <xf numFmtId="9" fontId="16" fillId="0" borderId="54" xfId="0" applyNumberFormat="1" applyFont="1" applyBorder="1" applyAlignment="1">
      <alignment horizontal="center" vertical="center"/>
    </xf>
    <xf numFmtId="0" fontId="17" fillId="8" borderId="8" xfId="0" applyFont="1" applyFill="1" applyBorder="1" applyAlignment="1">
      <alignment horizontal="center" vertical="center"/>
    </xf>
    <xf numFmtId="10" fontId="16" fillId="2" borderId="4" xfId="0" applyNumberFormat="1" applyFont="1" applyFill="1" applyBorder="1" applyAlignment="1">
      <alignment horizontal="center" vertical="center"/>
    </xf>
    <xf numFmtId="10" fontId="16" fillId="3" borderId="4" xfId="0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9" fontId="16" fillId="0" borderId="4" xfId="0" applyNumberFormat="1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6" fillId="0" borderId="52" xfId="0" applyFont="1" applyBorder="1" applyAlignment="1">
      <alignment horizontal="center" vertical="center"/>
    </xf>
    <xf numFmtId="9" fontId="16" fillId="0" borderId="52" xfId="0" applyNumberFormat="1" applyFont="1" applyBorder="1" applyAlignment="1">
      <alignment horizontal="center" vertical="center"/>
    </xf>
    <xf numFmtId="0" fontId="17" fillId="8" borderId="8" xfId="0" applyFont="1" applyFill="1" applyBorder="1" applyAlignment="1">
      <alignment horizontal="center" vertical="center" wrapText="1"/>
    </xf>
    <xf numFmtId="0" fontId="22" fillId="0" borderId="0" xfId="0" applyFont="1"/>
    <xf numFmtId="10" fontId="17" fillId="2" borderId="4" xfId="0" applyNumberFormat="1" applyFont="1" applyFill="1" applyBorder="1" applyAlignment="1">
      <alignment horizontal="center" vertical="center"/>
    </xf>
    <xf numFmtId="9" fontId="16" fillId="0" borderId="0" xfId="0" applyNumberFormat="1" applyFont="1" applyAlignment="1">
      <alignment horizontal="center" vertical="center"/>
    </xf>
    <xf numFmtId="4" fontId="16" fillId="0" borderId="0" xfId="0" applyNumberFormat="1" applyFont="1" applyAlignment="1">
      <alignment horizontal="center" vertical="center"/>
    </xf>
    <xf numFmtId="0" fontId="17" fillId="0" borderId="8" xfId="0" applyFont="1" applyBorder="1" applyAlignment="1">
      <alignment horizontal="center" vertical="center" wrapText="1"/>
    </xf>
    <xf numFmtId="10" fontId="16" fillId="0" borderId="47" xfId="0" applyNumberFormat="1" applyFont="1" applyBorder="1" applyAlignment="1">
      <alignment horizontal="center" vertical="center"/>
    </xf>
    <xf numFmtId="10" fontId="17" fillId="0" borderId="47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7" fillId="2" borderId="43" xfId="0" applyFont="1" applyFill="1" applyBorder="1" applyAlignment="1">
      <alignment horizontal="center" vertical="center"/>
    </xf>
    <xf numFmtId="0" fontId="17" fillId="2" borderId="44" xfId="0" applyFont="1" applyFill="1" applyBorder="1" applyAlignment="1">
      <alignment horizontal="center" vertical="center"/>
    </xf>
    <xf numFmtId="0" fontId="17" fillId="2" borderId="45" xfId="0" applyFont="1" applyFill="1" applyBorder="1" applyAlignment="1">
      <alignment horizontal="center" vertical="center"/>
    </xf>
    <xf numFmtId="10" fontId="17" fillId="2" borderId="7" xfId="0" applyNumberFormat="1" applyFont="1" applyFill="1" applyBorder="1" applyAlignment="1">
      <alignment horizontal="center" vertical="center"/>
    </xf>
    <xf numFmtId="0" fontId="19" fillId="2" borderId="26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10" fontId="17" fillId="2" borderId="44" xfId="0" applyNumberFormat="1" applyFont="1" applyFill="1" applyBorder="1" applyAlignment="1">
      <alignment horizontal="center" vertical="center"/>
    </xf>
    <xf numFmtId="0" fontId="17" fillId="2" borderId="26" xfId="0" applyFont="1" applyFill="1" applyBorder="1" applyAlignment="1">
      <alignment horizontal="center" vertical="center"/>
    </xf>
    <xf numFmtId="164" fontId="17" fillId="2" borderId="4" xfId="0" applyNumberFormat="1" applyFont="1" applyFill="1" applyBorder="1" applyAlignment="1">
      <alignment horizontal="center" vertical="center"/>
    </xf>
    <xf numFmtId="165" fontId="16" fillId="0" borderId="0" xfId="0" applyNumberFormat="1" applyFont="1"/>
    <xf numFmtId="165" fontId="16" fillId="0" borderId="0" xfId="0" applyNumberFormat="1" applyFont="1" applyAlignment="1">
      <alignment horizontal="center" vertical="center"/>
    </xf>
    <xf numFmtId="166" fontId="16" fillId="0" borderId="0" xfId="0" applyNumberFormat="1" applyFont="1" applyAlignment="1">
      <alignment horizontal="center" vertical="center"/>
    </xf>
    <xf numFmtId="166" fontId="16" fillId="0" borderId="0" xfId="0" applyNumberFormat="1" applyFont="1"/>
    <xf numFmtId="167" fontId="14" fillId="0" borderId="0" xfId="1" applyNumberFormat="1" applyFont="1"/>
    <xf numFmtId="165" fontId="16" fillId="0" borderId="8" xfId="0" applyNumberFormat="1" applyFont="1" applyBorder="1" applyAlignment="1">
      <alignment horizontal="center" vertical="center"/>
    </xf>
    <xf numFmtId="165" fontId="16" fillId="0" borderId="47" xfId="0" applyNumberFormat="1" applyFont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 vertical="center"/>
    </xf>
    <xf numFmtId="167" fontId="14" fillId="0" borderId="0" xfId="1" applyNumberFormat="1" applyFont="1" applyAlignment="1">
      <alignment horizontal="center" vertical="center"/>
    </xf>
    <xf numFmtId="165" fontId="14" fillId="0" borderId="0" xfId="0" applyNumberFormat="1" applyFont="1"/>
    <xf numFmtId="167" fontId="17" fillId="2" borderId="22" xfId="0" applyNumberFormat="1" applyFont="1" applyFill="1" applyBorder="1" applyAlignment="1">
      <alignment horizontal="center" vertical="center"/>
    </xf>
    <xf numFmtId="167" fontId="16" fillId="2" borderId="36" xfId="0" applyNumberFormat="1" applyFont="1" applyFill="1" applyBorder="1" applyAlignment="1">
      <alignment horizontal="center" vertical="center"/>
    </xf>
    <xf numFmtId="167" fontId="16" fillId="2" borderId="2" xfId="0" applyNumberFormat="1" applyFont="1" applyFill="1" applyBorder="1" applyAlignment="1">
      <alignment horizontal="center" vertical="center"/>
    </xf>
    <xf numFmtId="167" fontId="17" fillId="2" borderId="26" xfId="0" applyNumberFormat="1" applyFont="1" applyFill="1" applyBorder="1" applyAlignment="1">
      <alignment horizontal="center" vertical="center"/>
    </xf>
    <xf numFmtId="167" fontId="16" fillId="2" borderId="5" xfId="0" applyNumberFormat="1" applyFont="1" applyFill="1" applyBorder="1" applyAlignment="1">
      <alignment horizontal="center" vertical="center"/>
    </xf>
    <xf numFmtId="167" fontId="17" fillId="2" borderId="15" xfId="0" applyNumberFormat="1" applyFont="1" applyFill="1" applyBorder="1" applyAlignment="1">
      <alignment horizontal="center" vertical="center"/>
    </xf>
    <xf numFmtId="167" fontId="16" fillId="2" borderId="39" xfId="0" applyNumberFormat="1" applyFont="1" applyFill="1" applyBorder="1" applyAlignment="1">
      <alignment horizontal="center" vertical="center"/>
    </xf>
    <xf numFmtId="167" fontId="16" fillId="2" borderId="10" xfId="0" applyNumberFormat="1" applyFont="1" applyFill="1" applyBorder="1" applyAlignment="1">
      <alignment horizontal="center" vertical="center"/>
    </xf>
    <xf numFmtId="167" fontId="17" fillId="2" borderId="25" xfId="0" applyNumberFormat="1" applyFont="1" applyFill="1" applyBorder="1" applyAlignment="1">
      <alignment horizontal="center" vertical="center"/>
    </xf>
    <xf numFmtId="167" fontId="17" fillId="2" borderId="9" xfId="0" applyNumberFormat="1" applyFont="1" applyFill="1" applyBorder="1" applyAlignment="1">
      <alignment horizontal="center" vertical="center"/>
    </xf>
    <xf numFmtId="167" fontId="17" fillId="2" borderId="62" xfId="0" applyNumberFormat="1" applyFont="1" applyFill="1" applyBorder="1" applyAlignment="1">
      <alignment horizontal="center" vertical="center"/>
    </xf>
    <xf numFmtId="167" fontId="17" fillId="2" borderId="30" xfId="0" applyNumberFormat="1" applyFont="1" applyFill="1" applyBorder="1" applyAlignment="1">
      <alignment horizontal="center" vertical="center"/>
    </xf>
    <xf numFmtId="167" fontId="16" fillId="4" borderId="30" xfId="0" applyNumberFormat="1" applyFont="1" applyFill="1" applyBorder="1" applyAlignment="1">
      <alignment horizontal="center" vertical="center"/>
    </xf>
    <xf numFmtId="165" fontId="17" fillId="0" borderId="3" xfId="0" applyNumberFormat="1" applyFont="1" applyBorder="1" applyAlignment="1">
      <alignment horizontal="center" vertical="center"/>
    </xf>
    <xf numFmtId="165" fontId="16" fillId="2" borderId="3" xfId="0" applyNumberFormat="1" applyFont="1" applyFill="1" applyBorder="1" applyAlignment="1">
      <alignment horizontal="center" vertical="center"/>
    </xf>
    <xf numFmtId="167" fontId="16" fillId="0" borderId="0" xfId="0" applyNumberFormat="1" applyFont="1"/>
    <xf numFmtId="168" fontId="16" fillId="0" borderId="0" xfId="0" applyNumberFormat="1" applyFont="1"/>
    <xf numFmtId="165" fontId="16" fillId="0" borderId="7" xfId="0" applyNumberFormat="1" applyFont="1" applyBorder="1" applyAlignment="1">
      <alignment horizontal="center" vertical="center"/>
    </xf>
    <xf numFmtId="169" fontId="16" fillId="0" borderId="0" xfId="0" applyNumberFormat="1" applyFont="1"/>
    <xf numFmtId="167" fontId="14" fillId="0" borderId="0" xfId="0" applyNumberFormat="1" applyFont="1"/>
    <xf numFmtId="165" fontId="17" fillId="2" borderId="7" xfId="0" applyNumberFormat="1" applyFont="1" applyFill="1" applyBorder="1" applyAlignment="1">
      <alignment horizontal="center" vertical="center"/>
    </xf>
    <xf numFmtId="165" fontId="17" fillId="2" borderId="4" xfId="0" applyNumberFormat="1" applyFont="1" applyFill="1" applyBorder="1" applyAlignment="1">
      <alignment horizontal="center" vertical="center"/>
    </xf>
    <xf numFmtId="165" fontId="17" fillId="2" borderId="3" xfId="0" applyNumberFormat="1" applyFont="1" applyFill="1" applyBorder="1" applyAlignment="1">
      <alignment horizontal="center" vertical="center"/>
    </xf>
    <xf numFmtId="165" fontId="17" fillId="2" borderId="44" xfId="0" applyNumberFormat="1" applyFont="1" applyFill="1" applyBorder="1" applyAlignment="1">
      <alignment horizontal="center" vertical="center"/>
    </xf>
    <xf numFmtId="165" fontId="16" fillId="4" borderId="26" xfId="0" applyNumberFormat="1" applyFont="1" applyFill="1" applyBorder="1" applyAlignment="1">
      <alignment horizontal="center" vertical="center"/>
    </xf>
    <xf numFmtId="165" fontId="16" fillId="4" borderId="4" xfId="0" applyNumberFormat="1" applyFont="1" applyFill="1" applyBorder="1" applyAlignment="1">
      <alignment horizontal="center" vertical="center"/>
    </xf>
    <xf numFmtId="165" fontId="16" fillId="0" borderId="27" xfId="0" applyNumberFormat="1" applyFont="1" applyBorder="1" applyAlignment="1">
      <alignment horizontal="center" vertical="center"/>
    </xf>
    <xf numFmtId="165" fontId="16" fillId="2" borderId="26" xfId="0" applyNumberFormat="1" applyFont="1" applyFill="1" applyBorder="1" applyAlignment="1">
      <alignment horizontal="center" vertical="center"/>
    </xf>
    <xf numFmtId="165" fontId="16" fillId="2" borderId="4" xfId="0" applyNumberFormat="1" applyFont="1" applyFill="1" applyBorder="1" applyAlignment="1">
      <alignment horizontal="center" vertical="center"/>
    </xf>
    <xf numFmtId="165" fontId="16" fillId="2" borderId="15" xfId="0" applyNumberFormat="1" applyFont="1" applyFill="1" applyBorder="1" applyAlignment="1">
      <alignment horizontal="center" vertical="center"/>
    </xf>
    <xf numFmtId="165" fontId="16" fillId="0" borderId="3" xfId="0" applyNumberFormat="1" applyFont="1" applyBorder="1" applyAlignment="1">
      <alignment horizontal="center" vertical="center"/>
    </xf>
    <xf numFmtId="165" fontId="16" fillId="2" borderId="19" xfId="0" applyNumberFormat="1" applyFont="1" applyFill="1" applyBorder="1" applyAlignment="1">
      <alignment horizontal="center" vertical="center"/>
    </xf>
    <xf numFmtId="165" fontId="16" fillId="2" borderId="20" xfId="0" applyNumberFormat="1" applyFont="1" applyFill="1" applyBorder="1" applyAlignment="1">
      <alignment horizontal="center" vertical="center"/>
    </xf>
    <xf numFmtId="165" fontId="17" fillId="2" borderId="21" xfId="0" applyNumberFormat="1" applyFont="1" applyFill="1" applyBorder="1" applyAlignment="1">
      <alignment horizontal="center" vertical="center"/>
    </xf>
    <xf numFmtId="165" fontId="16" fillId="4" borderId="15" xfId="0" applyNumberFormat="1" applyFont="1" applyFill="1" applyBorder="1" applyAlignment="1">
      <alignment horizontal="center" vertical="center"/>
    </xf>
    <xf numFmtId="165" fontId="16" fillId="4" borderId="3" xfId="0" applyNumberFormat="1" applyFont="1" applyFill="1" applyBorder="1" applyAlignment="1">
      <alignment horizontal="center" vertical="center"/>
    </xf>
    <xf numFmtId="170" fontId="18" fillId="2" borderId="26" xfId="0" applyNumberFormat="1" applyFont="1" applyFill="1" applyBorder="1" applyAlignment="1">
      <alignment horizontal="center" vertical="center" wrapText="1"/>
    </xf>
    <xf numFmtId="171" fontId="16" fillId="7" borderId="4" xfId="0" applyNumberFormat="1" applyFont="1" applyFill="1" applyBorder="1" applyAlignment="1">
      <alignment horizontal="center" vertical="center" wrapText="1"/>
    </xf>
    <xf numFmtId="172" fontId="16" fillId="7" borderId="4" xfId="0" applyNumberFormat="1" applyFont="1" applyFill="1" applyBorder="1" applyAlignment="1">
      <alignment horizontal="center" vertical="center" wrapText="1"/>
    </xf>
    <xf numFmtId="165" fontId="17" fillId="0" borderId="4" xfId="0" applyNumberFormat="1" applyFont="1" applyBorder="1" applyAlignment="1">
      <alignment horizontal="center" vertical="center"/>
    </xf>
    <xf numFmtId="170" fontId="18" fillId="2" borderId="51" xfId="0" applyNumberFormat="1" applyFont="1" applyFill="1" applyBorder="1" applyAlignment="1">
      <alignment horizontal="center" vertical="center" wrapText="1"/>
    </xf>
    <xf numFmtId="171" fontId="16" fillId="7" borderId="52" xfId="0" applyNumberFormat="1" applyFont="1" applyFill="1" applyBorder="1" applyAlignment="1">
      <alignment horizontal="center" vertical="center" wrapText="1"/>
    </xf>
    <xf numFmtId="172" fontId="16" fillId="7" borderId="52" xfId="0" applyNumberFormat="1" applyFont="1" applyFill="1" applyBorder="1" applyAlignment="1">
      <alignment horizontal="center" vertical="center" wrapText="1"/>
    </xf>
    <xf numFmtId="165" fontId="17" fillId="0" borderId="52" xfId="0" applyNumberFormat="1" applyFont="1" applyBorder="1" applyAlignment="1">
      <alignment horizontal="center" vertical="center"/>
    </xf>
    <xf numFmtId="172" fontId="17" fillId="7" borderId="4" xfId="0" applyNumberFormat="1" applyFont="1" applyFill="1" applyBorder="1" applyAlignment="1">
      <alignment horizontal="center" vertical="center" wrapText="1"/>
    </xf>
    <xf numFmtId="165" fontId="14" fillId="0" borderId="0" xfId="0" applyNumberFormat="1" applyFont="1" applyAlignment="1">
      <alignment horizontal="center" vertical="center"/>
    </xf>
    <xf numFmtId="172" fontId="14" fillId="0" borderId="0" xfId="0" applyNumberFormat="1" applyFont="1"/>
    <xf numFmtId="173" fontId="14" fillId="0" borderId="0" xfId="0" applyNumberFormat="1" applyFont="1"/>
    <xf numFmtId="170" fontId="18" fillId="2" borderId="19" xfId="0" applyNumberFormat="1" applyFont="1" applyFill="1" applyBorder="1" applyAlignment="1">
      <alignment horizontal="center" vertical="center" wrapText="1"/>
    </xf>
    <xf numFmtId="171" fontId="16" fillId="7" borderId="20" xfId="0" applyNumberFormat="1" applyFont="1" applyFill="1" applyBorder="1" applyAlignment="1">
      <alignment horizontal="center" vertical="center" wrapText="1"/>
    </xf>
    <xf numFmtId="172" fontId="16" fillId="7" borderId="20" xfId="0" applyNumberFormat="1" applyFont="1" applyFill="1" applyBorder="1" applyAlignment="1">
      <alignment horizontal="center" vertical="center" wrapText="1"/>
    </xf>
    <xf numFmtId="165" fontId="17" fillId="0" borderId="20" xfId="0" applyNumberFormat="1" applyFont="1" applyBorder="1" applyAlignment="1">
      <alignment horizontal="center" vertical="center"/>
    </xf>
    <xf numFmtId="165" fontId="16" fillId="0" borderId="52" xfId="0" applyNumberFormat="1" applyFont="1" applyBorder="1" applyAlignment="1">
      <alignment horizontal="center" vertical="center"/>
    </xf>
    <xf numFmtId="165" fontId="16" fillId="0" borderId="20" xfId="0" applyNumberFormat="1" applyFont="1" applyBorder="1" applyAlignment="1">
      <alignment horizontal="center" vertical="center"/>
    </xf>
    <xf numFmtId="165" fontId="2" fillId="0" borderId="0" xfId="0" applyNumberFormat="1" applyFont="1"/>
    <xf numFmtId="174" fontId="0" fillId="0" borderId="0" xfId="1" applyFont="1"/>
    <xf numFmtId="175" fontId="2" fillId="0" borderId="0" xfId="0" applyNumberFormat="1" applyFont="1"/>
    <xf numFmtId="9" fontId="17" fillId="0" borderId="61" xfId="0" applyNumberFormat="1" applyFont="1" applyBorder="1" applyAlignment="1">
      <alignment horizontal="center" vertical="center"/>
    </xf>
    <xf numFmtId="0" fontId="17" fillId="0" borderId="47" xfId="0" applyFont="1" applyBorder="1" applyAlignment="1">
      <alignment horizontal="center" vertical="center"/>
    </xf>
    <xf numFmtId="0" fontId="14" fillId="0" borderId="0" xfId="0" applyFont="1"/>
    <xf numFmtId="10" fontId="16" fillId="0" borderId="0" xfId="0" applyNumberFormat="1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165" fontId="16" fillId="0" borderId="4" xfId="0" applyNumberFormat="1" applyFont="1" applyBorder="1" applyAlignment="1">
      <alignment horizontal="center" vertical="center"/>
    </xf>
    <xf numFmtId="10" fontId="17" fillId="0" borderId="4" xfId="0" applyNumberFormat="1" applyFont="1" applyBorder="1" applyAlignment="1">
      <alignment horizontal="center" vertical="center"/>
    </xf>
    <xf numFmtId="3" fontId="17" fillId="2" borderId="1" xfId="0" applyNumberFormat="1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172" fontId="17" fillId="5" borderId="4" xfId="0" applyNumberFormat="1" applyFont="1" applyFill="1" applyBorder="1" applyAlignment="1">
      <alignment horizontal="center" vertical="center"/>
    </xf>
    <xf numFmtId="0" fontId="17" fillId="0" borderId="65" xfId="0" applyFont="1" applyBorder="1" applyAlignment="1">
      <alignment horizontal="center" vertical="center"/>
    </xf>
    <xf numFmtId="0" fontId="0" fillId="0" borderId="55" xfId="0" applyBorder="1"/>
    <xf numFmtId="0" fontId="0" fillId="0" borderId="57" xfId="0" applyBorder="1"/>
    <xf numFmtId="9" fontId="17" fillId="0" borderId="61" xfId="0" applyNumberFormat="1" applyFont="1" applyBorder="1" applyAlignment="1">
      <alignment horizontal="center" vertical="center"/>
    </xf>
    <xf numFmtId="0" fontId="0" fillId="0" borderId="56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17" fillId="0" borderId="47" xfId="0" applyFont="1" applyBorder="1" applyAlignment="1">
      <alignment horizontal="center" vertical="center"/>
    </xf>
    <xf numFmtId="0" fontId="0" fillId="0" borderId="48" xfId="0" applyBorder="1"/>
    <xf numFmtId="0" fontId="0" fillId="0" borderId="49" xfId="0" applyBorder="1"/>
    <xf numFmtId="0" fontId="0" fillId="0" borderId="50" xfId="0" applyBorder="1"/>
    <xf numFmtId="10" fontId="17" fillId="0" borderId="0" xfId="0" applyNumberFormat="1" applyFont="1" applyAlignment="1">
      <alignment horizontal="center" vertical="center"/>
    </xf>
    <xf numFmtId="0" fontId="14" fillId="0" borderId="0" xfId="0" applyFont="1"/>
    <xf numFmtId="0" fontId="0" fillId="0" borderId="66" xfId="0" applyBorder="1"/>
    <xf numFmtId="10" fontId="16" fillId="0" borderId="0" xfId="0" applyNumberFormat="1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0" fillId="0" borderId="9" xfId="0" applyBorder="1"/>
    <xf numFmtId="165" fontId="16" fillId="0" borderId="4" xfId="0" applyNumberFormat="1" applyFont="1" applyBorder="1" applyAlignment="1">
      <alignment horizontal="center" vertical="center"/>
    </xf>
    <xf numFmtId="10" fontId="17" fillId="0" borderId="4" xfId="0" applyNumberFormat="1" applyFont="1" applyBorder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9" fontId="16" fillId="2" borderId="4" xfId="0" applyNumberFormat="1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10" fontId="16" fillId="2" borderId="67" xfId="0" applyNumberFormat="1" applyFont="1" applyFill="1" applyBorder="1" applyAlignment="1">
      <alignment horizontal="center" vertical="center"/>
    </xf>
    <xf numFmtId="0" fontId="0" fillId="0" borderId="38" xfId="0" applyBorder="1"/>
    <xf numFmtId="0" fontId="0" fillId="0" borderId="18" xfId="0" applyBorder="1"/>
    <xf numFmtId="165" fontId="17" fillId="2" borderId="1" xfId="0" applyNumberFormat="1" applyFont="1" applyFill="1" applyBorder="1" applyAlignment="1">
      <alignment horizontal="center" vertical="center"/>
    </xf>
    <xf numFmtId="0" fontId="0" fillId="0" borderId="29" xfId="0" applyBorder="1"/>
    <xf numFmtId="0" fontId="0" fillId="0" borderId="30" xfId="0" applyBorder="1"/>
    <xf numFmtId="165" fontId="16" fillId="2" borderId="67" xfId="0" applyNumberFormat="1" applyFont="1" applyFill="1" applyBorder="1" applyAlignment="1">
      <alignment horizontal="center" vertical="center"/>
    </xf>
    <xf numFmtId="3" fontId="17" fillId="2" borderId="1" xfId="0" applyNumberFormat="1" applyFont="1" applyFill="1" applyBorder="1" applyAlignment="1">
      <alignment horizontal="center" vertical="center"/>
    </xf>
    <xf numFmtId="0" fontId="0" fillId="0" borderId="32" xfId="0" applyBorder="1"/>
    <xf numFmtId="0" fontId="0" fillId="0" borderId="33" xfId="0" applyBorder="1"/>
    <xf numFmtId="10" fontId="16" fillId="2" borderId="34" xfId="0" applyNumberFormat="1" applyFont="1" applyFill="1" applyBorder="1" applyAlignment="1">
      <alignment horizontal="center" vertical="center"/>
    </xf>
    <xf numFmtId="10" fontId="16" fillId="2" borderId="44" xfId="0" applyNumberFormat="1" applyFont="1" applyFill="1" applyBorder="1" applyAlignment="1">
      <alignment horizontal="center" vertical="center"/>
    </xf>
    <xf numFmtId="0" fontId="0" fillId="0" borderId="17" xfId="0" applyBorder="1"/>
    <xf numFmtId="3" fontId="17" fillId="2" borderId="28" xfId="0" applyNumberFormat="1" applyFont="1" applyFill="1" applyBorder="1" applyAlignment="1">
      <alignment horizontal="center" vertical="center"/>
    </xf>
    <xf numFmtId="0" fontId="0" fillId="0" borderId="14" xfId="0" applyBorder="1"/>
    <xf numFmtId="0" fontId="0" fillId="0" borderId="31" xfId="0" applyBorder="1"/>
    <xf numFmtId="165" fontId="16" fillId="2" borderId="35" xfId="0" applyNumberFormat="1" applyFont="1" applyFill="1" applyBorder="1" applyAlignment="1">
      <alignment horizontal="center" vertical="center"/>
    </xf>
    <xf numFmtId="0" fontId="0" fillId="0" borderId="37" xfId="0" applyBorder="1"/>
    <xf numFmtId="0" fontId="17" fillId="2" borderId="22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5" xfId="0" applyBorder="1"/>
    <xf numFmtId="0" fontId="17" fillId="2" borderId="24" xfId="0" applyFont="1" applyFill="1" applyBorder="1" applyAlignment="1">
      <alignment horizontal="center" vertical="center"/>
    </xf>
    <xf numFmtId="0" fontId="0" fillId="0" borderId="46" xfId="0" applyBorder="1"/>
    <xf numFmtId="0" fontId="15" fillId="6" borderId="1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0" fillId="0" borderId="13" xfId="0" applyBorder="1"/>
    <xf numFmtId="172" fontId="17" fillId="5" borderId="4" xfId="0" applyNumberFormat="1" applyFont="1" applyFill="1" applyBorder="1" applyAlignment="1">
      <alignment horizontal="center" vertical="center"/>
    </xf>
  </cellXfs>
  <cellStyles count="4">
    <cellStyle name="Hipervínculo" xfId="3" builtinId="8"/>
    <cellStyle name="Moneda" xfId="1" builtinId="4"/>
    <cellStyle name="Normal" xfId="0" builtinId="0"/>
    <cellStyle name="Porcentaje" xfId="2" builtinId="5"/>
  </cellStyles>
  <dxfs count="50">
    <dxf>
      <alignment vertical="bottom" wrapText="1"/>
    </dxf>
    <dxf>
      <alignment vertical="bottom" wrapText="1"/>
    </dxf>
    <dxf>
      <alignment vertical="bottom" wrapText="1"/>
    </dxf>
    <dxf>
      <alignment vertical="bottom" wrapText="1"/>
    </dxf>
    <dxf>
      <alignment vertical="bottom" wrapText="1"/>
    </dxf>
    <dxf>
      <alignment vertical="bottom" wrapText="1"/>
    </dxf>
    <dxf>
      <alignment vertical="bottom" wrapText="1"/>
    </dxf>
    <dxf>
      <alignment vertical="bottom" wrapText="1"/>
    </dxf>
    <dxf>
      <fill>
        <patternFill>
          <fgColor indexed="64"/>
          <bgColor auto="1"/>
        </patternFill>
      </fill>
      <alignment vertical="bottom" wrapText="1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auto="1"/>
        </patternFill>
      </fill>
      <alignment vertical="bottom" wrapText="1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auto="1"/>
        </patternFill>
      </fill>
      <alignment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auto="1"/>
        </patternFill>
      </fill>
      <alignment vertical="bottom" wrapText="1"/>
    </dxf>
    <dxf>
      <fill>
        <patternFill>
          <fgColor indexed="64"/>
          <bgColor auto="1"/>
        </patternFill>
      </fill>
      <alignment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610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610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610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610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610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F4C7C3"/>
          <bgColor rgb="FFF4C7C3"/>
        </patternFill>
      </fill>
    </dxf>
    <dxf>
      <font>
        <color rgb="FFFF0000"/>
      </font>
      <fill>
        <patternFill patternType="solid">
          <fgColor rgb="FFF4C7C3"/>
          <bgColor rgb="FFF4C7C3"/>
        </patternFill>
      </fill>
    </dxf>
    <dxf>
      <font>
        <color rgb="FF274E13"/>
      </font>
      <fill>
        <patternFill patternType="solid">
          <fgColor rgb="FFB7E1CD"/>
          <bgColor rgb="FFB7E1C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</dxfs>
  <tableStyles count="2" defaultTableStyle="TableStyleMedium2" defaultPivotStyle="PivotStyleLight16">
    <tableStyle name="Link XRAY-style" pivot="0" count="2" xr9:uid="{00000000-0011-0000-FFFF-FFFF00000000}">
      <tableStyleElement type="firstRowStripe" dxfId="49"/>
      <tableStyleElement type="secondRowStripe" dxfId="48"/>
    </tableStyle>
    <tableStyle name="Link XRAY-style 2" pivot="0" count="3" xr9:uid="{00000000-0011-0000-FFFF-FFFF01000000}">
      <tableStyleElement type="headerRow" dxfId="47"/>
      <tableStyleElement type="firstRowStripe" dxfId="46"/>
      <tableStyleElement type="secondRowStripe" dxfId="4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D17:E17" headerRowCount="0" headerRowDxfId="12" dataDxfId="11" totalsRowDxfId="10">
  <tableColumns count="2">
    <tableColumn id="1" xr3:uid="{00000000-0010-0000-0000-000001000000}" name="Column1" dataDxfId="9"/>
    <tableColumn id="2" xr3:uid="{00000000-0010-0000-0000-000002000000}" name="Column2" dataDxfId="8">
      <calculatedColumnFormula>SUM(E2:E16)</calculatedColumnFormula>
    </tableColumn>
  </tableColumns>
  <tableStyleInfo name="Link XRAY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E16" headerRowCount="0" headerRowDxfId="7" dataDxfId="6" totalsRowDxfId="5">
  <tableColumns count="5">
    <tableColumn id="1" xr3:uid="{00000000-0010-0000-0100-000001000000}" name="Column1" dataDxfId="4"/>
    <tableColumn id="2" xr3:uid="{00000000-0010-0000-0100-000002000000}" name="Column2" dataDxfId="3"/>
    <tableColumn id="3" xr3:uid="{00000000-0010-0000-0100-000003000000}" name="Column3" dataDxfId="2"/>
    <tableColumn id="4" xr3:uid="{00000000-0010-0000-0100-000004000000}" name="Column4" dataDxfId="1"/>
    <tableColumn id="5" xr3:uid="{00000000-0010-0000-0100-000005000000}" name="Column5" dataDxfId="0"/>
  </tableColumns>
  <tableStyleInfo name="Link XRAY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olvidatedetucerdito.com/radar-fondos-mixtos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lt.morningstar.com/j2uwuwirpv/xraypdf/default.aspx?LanguageId=es-ES&amp;CurrencyId=EUR&amp;securityIds=F0000107JE%7CF00000ZJ1W%7CF00000OHVY%7CF00000M0UD%7CF00000SC7Y%7CF000016K5L%7CF0GBR04SKK%7C&amp;marketValues=15%7C50%7C5%7C5%7C5%7C10%7C10%7C&amp;typeids=FO%7CFO%7CFO%7CFO%7CFO%7CFO%7CFO%7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B2:C11"/>
  <sheetViews>
    <sheetView workbookViewId="0">
      <selection activeCell="B11" sqref="B11"/>
    </sheetView>
  </sheetViews>
  <sheetFormatPr baseColWidth="10" defaultColWidth="10.5" defaultRowHeight="13" x14ac:dyDescent="0.15"/>
  <cols>
    <col min="2" max="2" width="13.5" style="74" bestFit="1" customWidth="1"/>
    <col min="3" max="3" width="18.5" style="74" bestFit="1" customWidth="1"/>
  </cols>
  <sheetData>
    <row r="2" spans="2:3" x14ac:dyDescent="0.15">
      <c r="B2" t="s">
        <v>0</v>
      </c>
      <c r="C2" t="s">
        <v>1</v>
      </c>
    </row>
    <row r="3" spans="2:3" x14ac:dyDescent="0.15">
      <c r="B3" t="s">
        <v>2</v>
      </c>
      <c r="C3" t="s">
        <v>3</v>
      </c>
    </row>
    <row r="4" spans="2:3" x14ac:dyDescent="0.15">
      <c r="B4" t="s">
        <v>4</v>
      </c>
      <c r="C4" t="s">
        <v>5</v>
      </c>
    </row>
    <row r="5" spans="2:3" x14ac:dyDescent="0.15">
      <c r="B5" t="s">
        <v>6</v>
      </c>
      <c r="C5" t="s">
        <v>7</v>
      </c>
    </row>
    <row r="6" spans="2:3" x14ac:dyDescent="0.15">
      <c r="B6" t="s">
        <v>8</v>
      </c>
      <c r="C6" t="s">
        <v>9</v>
      </c>
    </row>
    <row r="7" spans="2:3" x14ac:dyDescent="0.15">
      <c r="B7" t="s">
        <v>10</v>
      </c>
      <c r="C7" t="s">
        <v>11</v>
      </c>
    </row>
    <row r="8" spans="2:3" x14ac:dyDescent="0.15">
      <c r="B8" t="s">
        <v>12</v>
      </c>
      <c r="C8" t="s">
        <v>13</v>
      </c>
    </row>
    <row r="9" spans="2:3" x14ac:dyDescent="0.15">
      <c r="B9" t="s">
        <v>14</v>
      </c>
      <c r="C9" t="s">
        <v>15</v>
      </c>
    </row>
    <row r="10" spans="2:3" x14ac:dyDescent="0.15">
      <c r="B10" t="s">
        <v>16</v>
      </c>
      <c r="C10" t="s">
        <v>17</v>
      </c>
    </row>
    <row r="11" spans="2:3" x14ac:dyDescent="0.15">
      <c r="B11" t="s">
        <v>18</v>
      </c>
      <c r="C11" t="s">
        <v>19</v>
      </c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outlinePr summaryBelow="0" summaryRight="0"/>
  </sheetPr>
  <dimension ref="B1:V1021"/>
  <sheetViews>
    <sheetView workbookViewId="0">
      <selection activeCell="F62" sqref="F62"/>
    </sheetView>
  </sheetViews>
  <sheetFormatPr baseColWidth="10" defaultColWidth="20.1640625" defaultRowHeight="14" x14ac:dyDescent="0.15"/>
  <cols>
    <col min="1" max="1" width="20.1640625" style="176" customWidth="1"/>
    <col min="2" max="2" width="50.1640625" style="176" bestFit="1" customWidth="1"/>
    <col min="3" max="4" width="9.1640625" style="176" bestFit="1" customWidth="1"/>
    <col min="5" max="5" width="16.1640625" style="176" bestFit="1" customWidth="1"/>
    <col min="6" max="6" width="11.5" style="176" bestFit="1" customWidth="1"/>
    <col min="7" max="7" width="8.33203125" style="176" bestFit="1" customWidth="1"/>
    <col min="8" max="9" width="8" style="176" bestFit="1" customWidth="1"/>
    <col min="10" max="11" width="6.83203125" style="176" bestFit="1" customWidth="1"/>
    <col min="12" max="12" width="8.5" style="176" customWidth="1"/>
    <col min="13" max="13" width="10.33203125" style="176" bestFit="1" customWidth="1"/>
    <col min="14" max="16" width="8" style="176" bestFit="1" customWidth="1"/>
    <col min="17" max="17" width="15.83203125" style="176" bestFit="1" customWidth="1"/>
    <col min="18" max="18" width="9.1640625" style="176" bestFit="1" customWidth="1"/>
    <col min="19" max="19" width="6.83203125" style="176" bestFit="1" customWidth="1"/>
    <col min="20" max="29" width="20.1640625" style="176" customWidth="1"/>
    <col min="30" max="16384" width="20.1640625" style="176"/>
  </cols>
  <sheetData>
    <row r="1" spans="2:22" x14ac:dyDescent="0.15">
      <c r="B1" s="26"/>
      <c r="C1" s="58"/>
      <c r="D1" s="58"/>
      <c r="E1" s="58"/>
      <c r="F1" s="58"/>
      <c r="G1" s="58"/>
      <c r="H1" s="58"/>
      <c r="I1" s="58"/>
      <c r="J1" s="58"/>
      <c r="K1" s="58"/>
      <c r="L1" s="58" t="s">
        <v>20</v>
      </c>
      <c r="M1" s="58"/>
      <c r="N1" s="58"/>
      <c r="O1" s="58"/>
      <c r="P1" s="58"/>
      <c r="Q1" s="58"/>
      <c r="R1" s="58"/>
      <c r="S1" s="58"/>
      <c r="T1" s="58"/>
    </row>
    <row r="2" spans="2:22" x14ac:dyDescent="0.15">
      <c r="M2" s="58"/>
      <c r="N2" s="58"/>
      <c r="O2" s="58"/>
      <c r="P2" s="58"/>
      <c r="Q2" s="58"/>
      <c r="R2" s="58"/>
      <c r="S2" s="58"/>
      <c r="T2" s="58"/>
    </row>
    <row r="3" spans="2:22" x14ac:dyDescent="0.15">
      <c r="J3" s="58"/>
      <c r="M3" s="58"/>
      <c r="N3" s="58"/>
      <c r="O3" s="58"/>
      <c r="P3" s="58"/>
      <c r="Q3" s="58"/>
      <c r="R3" s="58"/>
      <c r="S3" s="58"/>
      <c r="T3" s="58"/>
    </row>
    <row r="4" spans="2:22" ht="15" customHeight="1" x14ac:dyDescent="0.15">
      <c r="B4" s="77" t="s">
        <v>21</v>
      </c>
      <c r="C4" s="63" t="s">
        <v>22</v>
      </c>
      <c r="D4" s="63" t="s">
        <v>23</v>
      </c>
      <c r="E4" s="63" t="s">
        <v>24</v>
      </c>
      <c r="F4" s="63" t="s">
        <v>25</v>
      </c>
      <c r="G4" s="63" t="s">
        <v>26</v>
      </c>
      <c r="L4" s="184" t="s">
        <v>27</v>
      </c>
      <c r="M4" s="78" t="s">
        <v>28</v>
      </c>
      <c r="N4" s="79">
        <f>C63</f>
        <v>7.4999999999999997E-2</v>
      </c>
      <c r="O4" s="187">
        <f>N4+N5+N6+N7</f>
        <v>0.42499999999999999</v>
      </c>
      <c r="S4" s="26"/>
      <c r="T4" s="58"/>
      <c r="U4" s="58"/>
      <c r="V4" s="58"/>
    </row>
    <row r="5" spans="2:22" ht="15" customHeight="1" x14ac:dyDescent="0.15">
      <c r="B5" s="80" t="s">
        <v>29</v>
      </c>
      <c r="C5" s="28">
        <v>0.15</v>
      </c>
      <c r="D5" s="81">
        <f t="shared" ref="D5:D11" si="0">S40*C5</f>
        <v>9.6000000000000002E-4</v>
      </c>
      <c r="E5" s="82">
        <v>0.1</v>
      </c>
      <c r="F5" s="82">
        <v>0.08</v>
      </c>
      <c r="G5" s="82">
        <v>8.0999999999999996E-3</v>
      </c>
      <c r="L5" s="185"/>
      <c r="M5" s="83" t="s">
        <v>30</v>
      </c>
      <c r="N5" s="84">
        <f>D63</f>
        <v>0.25</v>
      </c>
      <c r="O5" s="188"/>
    </row>
    <row r="6" spans="2:22" ht="15" customHeight="1" x14ac:dyDescent="0.15">
      <c r="B6" s="85" t="s">
        <v>31</v>
      </c>
      <c r="C6" s="28">
        <v>0.1</v>
      </c>
      <c r="D6" s="81">
        <f t="shared" si="0"/>
        <v>1.2700000000000001E-3</v>
      </c>
      <c r="E6" s="82">
        <v>0.15</v>
      </c>
      <c r="F6" s="82">
        <v>0.1</v>
      </c>
      <c r="G6" s="82">
        <v>0</v>
      </c>
      <c r="L6" s="185"/>
      <c r="M6" s="83" t="s">
        <v>32</v>
      </c>
      <c r="N6" s="84">
        <f>E63</f>
        <v>0.05</v>
      </c>
      <c r="O6" s="188"/>
    </row>
    <row r="7" spans="2:22" ht="15" customHeight="1" x14ac:dyDescent="0.15">
      <c r="B7" s="80" t="s">
        <v>5</v>
      </c>
      <c r="C7" s="28">
        <v>0.5</v>
      </c>
      <c r="D7" s="81">
        <f t="shared" si="0"/>
        <v>4.0499999999999998E-3</v>
      </c>
      <c r="E7" s="82">
        <v>0.05</v>
      </c>
      <c r="F7" s="82">
        <v>0.05</v>
      </c>
      <c r="G7" s="82">
        <v>6.3E-3</v>
      </c>
      <c r="L7" s="186"/>
      <c r="M7" s="86" t="s">
        <v>33</v>
      </c>
      <c r="N7" s="87">
        <f>F63</f>
        <v>0.05</v>
      </c>
      <c r="O7" s="189"/>
    </row>
    <row r="8" spans="2:22" ht="15" customHeight="1" x14ac:dyDescent="0.15">
      <c r="B8" s="80" t="s">
        <v>7</v>
      </c>
      <c r="C8" s="28">
        <v>0.1</v>
      </c>
      <c r="D8" s="81">
        <f t="shared" si="0"/>
        <v>1.8000000000000001E-4</v>
      </c>
      <c r="E8" s="82">
        <v>0.2</v>
      </c>
      <c r="F8" s="82">
        <v>0.16600000000000001</v>
      </c>
      <c r="G8" s="82">
        <v>6.7000000000000002E-3</v>
      </c>
      <c r="L8" s="184" t="s">
        <v>34</v>
      </c>
      <c r="M8" s="78" t="s">
        <v>35</v>
      </c>
      <c r="N8" s="79">
        <f>G64</f>
        <v>0.14249999999999999</v>
      </c>
      <c r="O8" s="187">
        <f>N8+N9</f>
        <v>0.26749999999999996</v>
      </c>
    </row>
    <row r="9" spans="2:22" ht="15" customHeight="1" x14ac:dyDescent="0.15">
      <c r="B9" s="80" t="s">
        <v>9</v>
      </c>
      <c r="C9" s="28">
        <v>0.05</v>
      </c>
      <c r="D9" s="81">
        <f t="shared" si="0"/>
        <v>5.0000000000000001E-4</v>
      </c>
      <c r="E9" s="82">
        <v>0.15</v>
      </c>
      <c r="F9" s="82">
        <v>0.1424</v>
      </c>
      <c r="G9" s="82">
        <v>1.0200000000000001E-2</v>
      </c>
      <c r="L9" s="186"/>
      <c r="M9" s="86" t="s">
        <v>36</v>
      </c>
      <c r="N9" s="87">
        <f>J64</f>
        <v>0.125</v>
      </c>
      <c r="O9" s="189"/>
    </row>
    <row r="10" spans="2:22" ht="15" customHeight="1" x14ac:dyDescent="0.15">
      <c r="B10" s="80" t="s">
        <v>15</v>
      </c>
      <c r="C10" s="28">
        <v>0.05</v>
      </c>
      <c r="D10" s="81">
        <f t="shared" si="0"/>
        <v>6.0000000000000006E-4</v>
      </c>
      <c r="E10" s="82">
        <v>0.15</v>
      </c>
      <c r="F10" s="82">
        <v>0.25480000000000003</v>
      </c>
      <c r="G10" s="82">
        <v>2.8E-3</v>
      </c>
      <c r="L10" s="184" t="s">
        <v>37</v>
      </c>
      <c r="M10" s="190"/>
      <c r="N10" s="191"/>
      <c r="O10" s="174">
        <f>M64</f>
        <v>0.1575</v>
      </c>
    </row>
    <row r="11" spans="2:22" ht="15" customHeight="1" x14ac:dyDescent="0.15">
      <c r="B11" s="88" t="s">
        <v>38</v>
      </c>
      <c r="C11" s="28">
        <v>0.05</v>
      </c>
      <c r="D11" s="81">
        <f t="shared" si="0"/>
        <v>8.0000000000000004E-4</v>
      </c>
      <c r="E11" s="82">
        <v>0.09</v>
      </c>
      <c r="F11" s="82">
        <v>0.06</v>
      </c>
      <c r="G11" s="82">
        <v>1.8599999999999998E-2</v>
      </c>
      <c r="L11" s="184" t="s">
        <v>39</v>
      </c>
      <c r="M11" s="190"/>
      <c r="N11" s="191"/>
      <c r="O11" s="174">
        <f>O63</f>
        <v>5.7500000000000002E-2</v>
      </c>
      <c r="U11" s="89"/>
    </row>
    <row r="12" spans="2:22" ht="15" customHeight="1" x14ac:dyDescent="0.15">
      <c r="B12" s="80"/>
      <c r="C12" s="28">
        <v>0</v>
      </c>
      <c r="D12" s="81">
        <f>S48*C12</f>
        <v>0</v>
      </c>
      <c r="E12" s="82">
        <v>0</v>
      </c>
      <c r="F12" s="82">
        <v>0</v>
      </c>
      <c r="G12" s="82">
        <v>0</v>
      </c>
      <c r="L12" s="184" t="s">
        <v>40</v>
      </c>
      <c r="M12" s="190"/>
      <c r="N12" s="191"/>
      <c r="O12" s="174">
        <f>P64</f>
        <v>9.2499999999999999E-2</v>
      </c>
      <c r="Q12" s="58"/>
    </row>
    <row r="13" spans="2:22" ht="15" customHeight="1" x14ac:dyDescent="0.15">
      <c r="B13" s="26"/>
      <c r="C13" s="90">
        <f>SUM(C5:C12)</f>
        <v>1</v>
      </c>
      <c r="D13" s="90">
        <f>SUM(D5:D12)</f>
        <v>8.3599999999999994E-3</v>
      </c>
      <c r="E13" s="106">
        <f>(C5*E5)+(C6*E6)+(C7*E7)+(C8*E8)+(C9*E9)+(C10*E10)+(C11*E11)+(C12*E12)</f>
        <v>9.4500000000000028E-2</v>
      </c>
      <c r="F13" s="106">
        <f>($C5*F5)+($C6*F6)+($C7*F7)+($C8*F8)+($C9*F9)+($C10*F10)+($C11*F11)+($C12*F12)</f>
        <v>8.6460000000000009E-2</v>
      </c>
      <c r="G13" s="106">
        <f>($C5*G5)+($C6*G6)+($C7*G7)+($C8*G8)+($C9*G9)+($C10*G10)+($C11*G11)+($C12*G12)</f>
        <v>6.6150000000000002E-3</v>
      </c>
      <c r="L13" s="58"/>
      <c r="M13" s="58"/>
      <c r="O13" s="72"/>
    </row>
    <row r="14" spans="2:22" x14ac:dyDescent="0.15">
      <c r="B14" s="107"/>
      <c r="C14" s="26"/>
      <c r="E14" s="58"/>
      <c r="L14" s="58"/>
      <c r="M14" s="58"/>
      <c r="O14" s="91">
        <f>SUM(O4:O12)</f>
        <v>0.99999999999999989</v>
      </c>
    </row>
    <row r="15" spans="2:22" x14ac:dyDescent="0.15">
      <c r="B15" s="107"/>
      <c r="C15" s="58"/>
      <c r="D15" s="58"/>
      <c r="E15" s="108"/>
      <c r="G15" s="58"/>
      <c r="H15" s="58"/>
      <c r="I15" s="58"/>
      <c r="M15" s="58"/>
      <c r="N15" s="58"/>
      <c r="O15" s="58"/>
      <c r="P15" s="58"/>
      <c r="R15" s="58"/>
      <c r="S15" s="58"/>
      <c r="T15" s="58"/>
    </row>
    <row r="16" spans="2:22" x14ac:dyDescent="0.15">
      <c r="B16" s="107"/>
      <c r="C16" s="58"/>
      <c r="D16" s="58"/>
      <c r="G16" s="108"/>
      <c r="H16" s="58"/>
      <c r="I16" s="58"/>
      <c r="M16" s="58"/>
      <c r="N16" s="58"/>
      <c r="O16" s="58"/>
      <c r="P16" s="58"/>
      <c r="R16" s="58"/>
      <c r="S16" s="58"/>
      <c r="T16" s="58"/>
    </row>
    <row r="17" spans="2:20" x14ac:dyDescent="0.15">
      <c r="B17" s="107"/>
      <c r="C17" s="58"/>
      <c r="D17" s="58"/>
      <c r="G17" s="58"/>
      <c r="H17" s="58"/>
      <c r="I17" s="58"/>
      <c r="M17" s="58"/>
      <c r="N17" s="58"/>
      <c r="O17" s="58"/>
      <c r="P17" s="58"/>
      <c r="Q17" s="58"/>
      <c r="R17" s="58"/>
      <c r="S17" s="58"/>
      <c r="T17" s="58"/>
    </row>
    <row r="18" spans="2:20" x14ac:dyDescent="0.15">
      <c r="B18" s="107"/>
      <c r="C18" s="58"/>
      <c r="D18" s="58"/>
      <c r="E18" s="58"/>
      <c r="F18" s="58"/>
      <c r="G18" s="58"/>
      <c r="H18" s="58"/>
      <c r="I18" s="58"/>
      <c r="O18" s="58"/>
      <c r="P18" s="58"/>
      <c r="Q18" s="58"/>
      <c r="R18" s="58"/>
      <c r="S18" s="58"/>
      <c r="T18" s="58"/>
    </row>
    <row r="19" spans="2:20" x14ac:dyDescent="0.15">
      <c r="B19" s="107"/>
      <c r="C19" s="58"/>
      <c r="D19" s="58"/>
      <c r="E19" s="58"/>
      <c r="F19" s="58"/>
      <c r="G19" s="58"/>
      <c r="H19" s="58"/>
      <c r="I19" s="58"/>
      <c r="O19" s="58"/>
      <c r="P19" s="58"/>
      <c r="Q19" s="58"/>
      <c r="R19" s="58"/>
      <c r="S19" s="58"/>
      <c r="T19" s="58"/>
    </row>
    <row r="20" spans="2:20" x14ac:dyDescent="0.15">
      <c r="B20" s="107"/>
      <c r="C20" s="58"/>
      <c r="D20" s="58"/>
      <c r="E20" s="58"/>
      <c r="F20" s="58"/>
      <c r="G20" s="58"/>
      <c r="H20" s="58"/>
      <c r="I20" s="58"/>
      <c r="O20" s="58"/>
      <c r="P20" s="58"/>
      <c r="Q20" s="58"/>
      <c r="R20" s="58"/>
      <c r="S20" s="58"/>
      <c r="T20" s="58"/>
    </row>
    <row r="21" spans="2:20" x14ac:dyDescent="0.15">
      <c r="B21" s="75" t="s">
        <v>41</v>
      </c>
      <c r="C21" s="92"/>
      <c r="D21" s="58"/>
      <c r="E21" s="58"/>
      <c r="F21" s="58"/>
      <c r="G21" s="58"/>
      <c r="H21" s="58"/>
      <c r="I21" s="58"/>
      <c r="O21" s="58"/>
      <c r="P21" s="58"/>
      <c r="Q21" s="58"/>
      <c r="R21" s="58"/>
      <c r="S21" s="58"/>
      <c r="T21" s="58"/>
    </row>
    <row r="22" spans="2:20" x14ac:dyDescent="0.15">
      <c r="B22" s="26"/>
      <c r="C22" s="58"/>
      <c r="D22" s="58"/>
      <c r="E22" s="58"/>
      <c r="F22" s="58"/>
      <c r="G22" s="58"/>
      <c r="H22" s="58"/>
      <c r="I22" s="58"/>
      <c r="J22" s="58"/>
      <c r="P22" s="58"/>
      <c r="Q22" s="58"/>
      <c r="R22" s="26"/>
      <c r="S22" s="58"/>
      <c r="T22" s="58"/>
    </row>
    <row r="23" spans="2:20" x14ac:dyDescent="0.15">
      <c r="B23" s="26"/>
      <c r="C23" s="58"/>
      <c r="D23" s="58"/>
      <c r="E23" s="58"/>
      <c r="F23" s="58"/>
      <c r="G23" s="58"/>
      <c r="H23" s="58"/>
      <c r="I23" s="58"/>
      <c r="J23" s="58"/>
      <c r="P23" s="58"/>
      <c r="Q23" s="109"/>
      <c r="R23" s="110"/>
      <c r="S23" s="58"/>
      <c r="T23" s="58"/>
    </row>
    <row r="24" spans="2:20" x14ac:dyDescent="0.15">
      <c r="B24" s="26"/>
      <c r="D24" s="58"/>
      <c r="E24" s="58"/>
      <c r="F24" s="58"/>
      <c r="G24" s="58"/>
      <c r="H24" s="58"/>
      <c r="I24" s="58"/>
      <c r="J24" s="58"/>
      <c r="O24" s="58"/>
      <c r="P24" s="58"/>
      <c r="Q24" s="26"/>
      <c r="R24" s="58"/>
      <c r="S24" s="58"/>
      <c r="T24" s="58"/>
    </row>
    <row r="25" spans="2:20" x14ac:dyDescent="0.15">
      <c r="B25" s="26"/>
      <c r="C25" s="58"/>
      <c r="D25" s="58"/>
      <c r="E25" s="58"/>
      <c r="F25" s="58"/>
      <c r="G25" s="58"/>
      <c r="H25" s="58"/>
      <c r="I25" s="58"/>
      <c r="J25" s="58"/>
      <c r="T25" s="58"/>
    </row>
    <row r="26" spans="2:20" x14ac:dyDescent="0.15">
      <c r="B26" s="26"/>
      <c r="C26" s="58"/>
      <c r="D26" s="58"/>
      <c r="E26" s="58"/>
      <c r="F26" s="58"/>
      <c r="G26" s="58"/>
      <c r="H26" s="58"/>
      <c r="I26" s="58"/>
      <c r="J26" s="58"/>
      <c r="T26" s="58"/>
    </row>
    <row r="27" spans="2:20" x14ac:dyDescent="0.15">
      <c r="B27" s="26"/>
      <c r="C27" s="58"/>
      <c r="D27" s="58"/>
      <c r="E27" s="58"/>
      <c r="F27" s="58"/>
      <c r="G27" s="58"/>
      <c r="H27" s="58"/>
      <c r="I27" s="58"/>
      <c r="J27" s="58"/>
      <c r="T27" s="58"/>
    </row>
    <row r="28" spans="2:20" x14ac:dyDescent="0.15">
      <c r="B28" s="26"/>
      <c r="C28" s="58"/>
      <c r="D28" s="58"/>
      <c r="E28" s="58"/>
      <c r="F28" s="58"/>
      <c r="G28" s="58"/>
      <c r="H28" s="58"/>
      <c r="I28" s="58"/>
      <c r="J28" s="58"/>
      <c r="T28" s="58"/>
    </row>
    <row r="29" spans="2:20" x14ac:dyDescent="0.15">
      <c r="B29" s="26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R29" s="76"/>
      <c r="S29" s="58"/>
      <c r="T29" s="58"/>
    </row>
    <row r="30" spans="2:20" x14ac:dyDescent="0.15">
      <c r="B30" s="26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</row>
    <row r="31" spans="2:20" x14ac:dyDescent="0.15">
      <c r="B31" s="26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</row>
    <row r="32" spans="2:20" x14ac:dyDescent="0.15">
      <c r="B32" s="26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</row>
    <row r="33" spans="2:20" x14ac:dyDescent="0.15">
      <c r="B33" s="26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</row>
    <row r="34" spans="2:20" x14ac:dyDescent="0.15">
      <c r="B34" s="26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</row>
    <row r="35" spans="2:20" x14ac:dyDescent="0.15">
      <c r="B35" s="26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</row>
    <row r="36" spans="2:20" x14ac:dyDescent="0.15">
      <c r="B36" s="26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</row>
    <row r="37" spans="2:20" ht="15" customHeight="1" x14ac:dyDescent="0.15">
      <c r="B37" s="58"/>
      <c r="C37" s="192" t="s">
        <v>27</v>
      </c>
      <c r="D37" s="194"/>
      <c r="E37" s="194"/>
      <c r="F37" s="195"/>
      <c r="G37" s="192" t="s">
        <v>34</v>
      </c>
      <c r="H37" s="194"/>
      <c r="I37" s="194"/>
      <c r="J37" s="194"/>
      <c r="K37" s="194"/>
      <c r="L37" s="195"/>
      <c r="M37" s="192" t="s">
        <v>37</v>
      </c>
      <c r="N37" s="195"/>
      <c r="O37" s="192" t="s">
        <v>39</v>
      </c>
      <c r="P37" s="192" t="s">
        <v>40</v>
      </c>
      <c r="Q37" s="195"/>
      <c r="R37" s="58"/>
      <c r="S37" s="58"/>
    </row>
    <row r="38" spans="2:20" ht="15" customHeight="1" x14ac:dyDescent="0.15">
      <c r="B38" s="58"/>
      <c r="C38" s="192" t="s">
        <v>28</v>
      </c>
      <c r="D38" s="192" t="s">
        <v>30</v>
      </c>
      <c r="E38" s="192" t="s">
        <v>32</v>
      </c>
      <c r="F38" s="192" t="s">
        <v>33</v>
      </c>
      <c r="G38" s="192" t="s">
        <v>35</v>
      </c>
      <c r="H38" s="194"/>
      <c r="I38" s="195"/>
      <c r="J38" s="192" t="s">
        <v>36</v>
      </c>
      <c r="K38" s="194"/>
      <c r="L38" s="195"/>
      <c r="M38" s="192" t="s">
        <v>42</v>
      </c>
      <c r="N38" s="192" t="s">
        <v>43</v>
      </c>
      <c r="O38" s="198"/>
      <c r="P38" s="192" t="s">
        <v>44</v>
      </c>
      <c r="Q38" s="192" t="s">
        <v>45</v>
      </c>
      <c r="R38" s="58"/>
      <c r="S38" s="58"/>
    </row>
    <row r="39" spans="2:20" ht="15" customHeight="1" x14ac:dyDescent="0.15">
      <c r="B39" s="58"/>
      <c r="C39" s="193"/>
      <c r="D39" s="193"/>
      <c r="E39" s="193"/>
      <c r="F39" s="193"/>
      <c r="G39" s="175" t="s">
        <v>46</v>
      </c>
      <c r="H39" s="175" t="s">
        <v>47</v>
      </c>
      <c r="I39" s="175" t="s">
        <v>30</v>
      </c>
      <c r="J39" s="175" t="s">
        <v>46</v>
      </c>
      <c r="K39" s="175" t="s">
        <v>47</v>
      </c>
      <c r="L39" s="175" t="s">
        <v>30</v>
      </c>
      <c r="M39" s="193"/>
      <c r="N39" s="193"/>
      <c r="O39" s="193"/>
      <c r="P39" s="193"/>
      <c r="Q39" s="193"/>
      <c r="R39" s="58"/>
      <c r="S39" s="58" t="s">
        <v>23</v>
      </c>
    </row>
    <row r="40" spans="2:20" ht="15" customHeight="1" x14ac:dyDescent="0.15">
      <c r="B40" s="93" t="str">
        <f t="shared" ref="B40:B48" si="1">B5</f>
        <v>Baelo Patrimonio</v>
      </c>
      <c r="C40" s="94">
        <v>0.5</v>
      </c>
      <c r="D40" s="94"/>
      <c r="E40" s="94"/>
      <c r="F40" s="94"/>
      <c r="G40" s="94"/>
      <c r="H40" s="94"/>
      <c r="I40" s="94">
        <v>0.2</v>
      </c>
      <c r="J40" s="94"/>
      <c r="K40" s="94"/>
      <c r="L40" s="94"/>
      <c r="M40" s="94">
        <v>0.05</v>
      </c>
      <c r="N40" s="94"/>
      <c r="O40" s="94">
        <v>0.05</v>
      </c>
      <c r="P40" s="94">
        <v>0.1</v>
      </c>
      <c r="Q40" s="94">
        <v>0.1</v>
      </c>
      <c r="R40" s="95">
        <f t="shared" ref="R40:R48" si="2">SUM(C40:Q40)</f>
        <v>1</v>
      </c>
      <c r="S40" s="177">
        <v>6.4000000000000003E-3</v>
      </c>
    </row>
    <row r="41" spans="2:20" ht="15" customHeight="1" x14ac:dyDescent="0.15">
      <c r="B41" s="93" t="str">
        <f t="shared" si="1"/>
        <v>Affinium</v>
      </c>
      <c r="C41" s="94"/>
      <c r="D41" s="94">
        <v>0.25</v>
      </c>
      <c r="E41" s="94"/>
      <c r="F41" s="94"/>
      <c r="G41" s="94"/>
      <c r="H41" s="94">
        <v>0.25</v>
      </c>
      <c r="I41" s="94"/>
      <c r="J41" s="94"/>
      <c r="K41" s="94"/>
      <c r="L41" s="94"/>
      <c r="M41" s="94"/>
      <c r="N41" s="94">
        <v>0.25</v>
      </c>
      <c r="O41" s="94">
        <v>0.25</v>
      </c>
      <c r="P41" s="94"/>
      <c r="Q41" s="94"/>
      <c r="R41" s="95">
        <f t="shared" si="2"/>
        <v>1</v>
      </c>
      <c r="S41" s="177">
        <v>1.2699999999999999E-2</v>
      </c>
    </row>
    <row r="42" spans="2:20" ht="15" customHeight="1" x14ac:dyDescent="0.15">
      <c r="B42" s="93" t="str">
        <f t="shared" si="1"/>
        <v>River CP</v>
      </c>
      <c r="C42" s="94"/>
      <c r="D42" s="94">
        <v>0.2</v>
      </c>
      <c r="E42" s="94"/>
      <c r="F42" s="94"/>
      <c r="G42" s="94"/>
      <c r="H42" s="94"/>
      <c r="I42" s="94">
        <v>0.125</v>
      </c>
      <c r="J42" s="94"/>
      <c r="K42" s="94"/>
      <c r="L42" s="94">
        <v>0.25</v>
      </c>
      <c r="M42" s="94"/>
      <c r="N42" s="94">
        <v>0.25</v>
      </c>
      <c r="O42" s="94">
        <v>0.05</v>
      </c>
      <c r="P42" s="94">
        <v>0.125</v>
      </c>
      <c r="Q42" s="94"/>
      <c r="R42" s="95">
        <f t="shared" si="2"/>
        <v>1</v>
      </c>
      <c r="S42" s="177">
        <v>8.0999999999999996E-3</v>
      </c>
    </row>
    <row r="43" spans="2:20" ht="15" customHeight="1" x14ac:dyDescent="0.15">
      <c r="B43" s="93" t="str">
        <f t="shared" si="1"/>
        <v>Vanguard Global Stk</v>
      </c>
      <c r="C43" s="94"/>
      <c r="D43" s="94">
        <v>1</v>
      </c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5">
        <f t="shared" si="2"/>
        <v>1</v>
      </c>
      <c r="S43" s="177">
        <v>1.8E-3</v>
      </c>
    </row>
    <row r="44" spans="2:20" ht="15" customHeight="1" x14ac:dyDescent="0.15">
      <c r="B44" s="93" t="str">
        <f t="shared" si="1"/>
        <v>Fundsmith Equity T</v>
      </c>
      <c r="C44" s="94"/>
      <c r="D44" s="94"/>
      <c r="E44" s="94">
        <v>1</v>
      </c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5">
        <f t="shared" si="2"/>
        <v>1</v>
      </c>
      <c r="S44" s="177">
        <v>0.01</v>
      </c>
    </row>
    <row r="45" spans="2:20" ht="15" customHeight="1" x14ac:dyDescent="0.15">
      <c r="B45" s="93" t="str">
        <f t="shared" si="1"/>
        <v>True Value</v>
      </c>
      <c r="C45" s="94"/>
      <c r="D45" s="94"/>
      <c r="E45" s="94"/>
      <c r="F45" s="94">
        <v>1</v>
      </c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5">
        <f t="shared" si="2"/>
        <v>1</v>
      </c>
      <c r="S45" s="177">
        <v>1.2E-2</v>
      </c>
    </row>
    <row r="46" spans="2:20" ht="15" customHeight="1" x14ac:dyDescent="0.15">
      <c r="B46" s="93" t="str">
        <f t="shared" si="1"/>
        <v>MFS - Prudent Wealth Fund A1</v>
      </c>
      <c r="C46" s="94"/>
      <c r="D46" s="94">
        <v>0.5</v>
      </c>
      <c r="E46" s="94"/>
      <c r="F46" s="94"/>
      <c r="G46" s="94"/>
      <c r="H46" s="94"/>
      <c r="I46" s="94">
        <v>0.5</v>
      </c>
      <c r="J46" s="94"/>
      <c r="K46" s="94"/>
      <c r="L46" s="94"/>
      <c r="M46" s="94"/>
      <c r="N46" s="94"/>
      <c r="O46" s="94"/>
      <c r="P46" s="94"/>
      <c r="Q46" s="94"/>
      <c r="R46" s="95">
        <f t="shared" si="2"/>
        <v>1</v>
      </c>
      <c r="S46" s="177">
        <v>1.6E-2</v>
      </c>
    </row>
    <row r="47" spans="2:20" ht="15" customHeight="1" x14ac:dyDescent="0.15">
      <c r="B47" s="93">
        <f t="shared" si="1"/>
        <v>0</v>
      </c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5">
        <f t="shared" si="2"/>
        <v>0</v>
      </c>
      <c r="S47" s="58"/>
    </row>
    <row r="48" spans="2:20" ht="15" customHeight="1" x14ac:dyDescent="0.15">
      <c r="B48" s="93">
        <f t="shared" si="1"/>
        <v>0</v>
      </c>
      <c r="C48" s="94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5">
        <f t="shared" si="2"/>
        <v>0</v>
      </c>
      <c r="S48" s="58"/>
    </row>
    <row r="49" spans="2:19" x14ac:dyDescent="0.15">
      <c r="B49" s="96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</row>
    <row r="50" spans="2:19" x14ac:dyDescent="0.15">
      <c r="B50" s="96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</row>
    <row r="51" spans="2:19" ht="15" customHeight="1" x14ac:dyDescent="0.15">
      <c r="B51" s="96"/>
      <c r="C51" s="192" t="s">
        <v>27</v>
      </c>
      <c r="D51" s="194"/>
      <c r="E51" s="194"/>
      <c r="F51" s="195"/>
      <c r="G51" s="192" t="s">
        <v>34</v>
      </c>
      <c r="H51" s="194"/>
      <c r="I51" s="194"/>
      <c r="J51" s="194"/>
      <c r="K51" s="194"/>
      <c r="L51" s="195"/>
      <c r="M51" s="192" t="s">
        <v>37</v>
      </c>
      <c r="N51" s="195"/>
      <c r="O51" s="192" t="s">
        <v>39</v>
      </c>
      <c r="P51" s="192" t="s">
        <v>40</v>
      </c>
      <c r="Q51" s="195"/>
      <c r="R51" s="58"/>
    </row>
    <row r="52" spans="2:19" ht="15" customHeight="1" x14ac:dyDescent="0.15">
      <c r="B52" s="96"/>
      <c r="C52" s="192" t="s">
        <v>28</v>
      </c>
      <c r="D52" s="192" t="s">
        <v>30</v>
      </c>
      <c r="E52" s="192" t="s">
        <v>32</v>
      </c>
      <c r="F52" s="192" t="s">
        <v>33</v>
      </c>
      <c r="G52" s="192" t="s">
        <v>35</v>
      </c>
      <c r="H52" s="194"/>
      <c r="I52" s="195"/>
      <c r="J52" s="192" t="s">
        <v>36</v>
      </c>
      <c r="K52" s="194"/>
      <c r="L52" s="195"/>
      <c r="M52" s="192" t="s">
        <v>42</v>
      </c>
      <c r="N52" s="192" t="s">
        <v>43</v>
      </c>
      <c r="O52" s="198"/>
      <c r="P52" s="192" t="s">
        <v>44</v>
      </c>
      <c r="Q52" s="192" t="s">
        <v>45</v>
      </c>
    </row>
    <row r="53" spans="2:19" ht="15" customHeight="1" x14ac:dyDescent="0.15">
      <c r="B53" s="96"/>
      <c r="C53" s="193"/>
      <c r="D53" s="193"/>
      <c r="E53" s="193"/>
      <c r="F53" s="193"/>
      <c r="G53" s="175" t="s">
        <v>46</v>
      </c>
      <c r="H53" s="175" t="s">
        <v>47</v>
      </c>
      <c r="I53" s="175" t="s">
        <v>30</v>
      </c>
      <c r="J53" s="175" t="s">
        <v>46</v>
      </c>
      <c r="K53" s="175" t="s">
        <v>47</v>
      </c>
      <c r="L53" s="175" t="s">
        <v>30</v>
      </c>
      <c r="M53" s="193"/>
      <c r="N53" s="193"/>
      <c r="O53" s="193"/>
      <c r="P53" s="193"/>
      <c r="Q53" s="193"/>
    </row>
    <row r="54" spans="2:19" ht="15" customHeight="1" x14ac:dyDescent="0.15">
      <c r="B54" s="93" t="str">
        <f t="shared" ref="B54:B62" si="3">B5</f>
        <v>Baelo Patrimonio</v>
      </c>
      <c r="C54" s="94">
        <f t="shared" ref="C54:Q54" si="4">C40*$C$5</f>
        <v>7.4999999999999997E-2</v>
      </c>
      <c r="D54" s="94">
        <f t="shared" si="4"/>
        <v>0</v>
      </c>
      <c r="E54" s="94">
        <f t="shared" si="4"/>
        <v>0</v>
      </c>
      <c r="F54" s="94">
        <f t="shared" si="4"/>
        <v>0</v>
      </c>
      <c r="G54" s="94">
        <f t="shared" si="4"/>
        <v>0</v>
      </c>
      <c r="H54" s="94">
        <f t="shared" si="4"/>
        <v>0</v>
      </c>
      <c r="I54" s="94">
        <f t="shared" si="4"/>
        <v>0.03</v>
      </c>
      <c r="J54" s="94">
        <f t="shared" si="4"/>
        <v>0</v>
      </c>
      <c r="K54" s="94">
        <f t="shared" si="4"/>
        <v>0</v>
      </c>
      <c r="L54" s="94">
        <f t="shared" si="4"/>
        <v>0</v>
      </c>
      <c r="M54" s="94">
        <f t="shared" si="4"/>
        <v>7.4999999999999997E-3</v>
      </c>
      <c r="N54" s="94">
        <f t="shared" si="4"/>
        <v>0</v>
      </c>
      <c r="O54" s="94">
        <f t="shared" si="4"/>
        <v>7.4999999999999997E-3</v>
      </c>
      <c r="P54" s="94">
        <f t="shared" si="4"/>
        <v>1.4999999999999999E-2</v>
      </c>
      <c r="Q54" s="94">
        <f t="shared" si="4"/>
        <v>1.4999999999999999E-2</v>
      </c>
      <c r="R54" s="95">
        <f t="shared" ref="R54:R62" si="5">SUM(C54:Q54)</f>
        <v>0.15000000000000002</v>
      </c>
    </row>
    <row r="55" spans="2:19" ht="15" customHeight="1" x14ac:dyDescent="0.15">
      <c r="B55" s="93" t="str">
        <f t="shared" si="3"/>
        <v>Affinium</v>
      </c>
      <c r="C55" s="94">
        <f t="shared" ref="C55:Q55" si="6">C41*$C$6</f>
        <v>0</v>
      </c>
      <c r="D55" s="94">
        <f t="shared" si="6"/>
        <v>2.5000000000000001E-2</v>
      </c>
      <c r="E55" s="94">
        <f t="shared" si="6"/>
        <v>0</v>
      </c>
      <c r="F55" s="94">
        <f t="shared" si="6"/>
        <v>0</v>
      </c>
      <c r="G55" s="94">
        <f t="shared" si="6"/>
        <v>0</v>
      </c>
      <c r="H55" s="94">
        <f t="shared" si="6"/>
        <v>2.5000000000000001E-2</v>
      </c>
      <c r="I55" s="94">
        <f t="shared" si="6"/>
        <v>0</v>
      </c>
      <c r="J55" s="94">
        <f t="shared" si="6"/>
        <v>0</v>
      </c>
      <c r="K55" s="94">
        <f t="shared" si="6"/>
        <v>0</v>
      </c>
      <c r="L55" s="94">
        <f t="shared" si="6"/>
        <v>0</v>
      </c>
      <c r="M55" s="94">
        <f t="shared" si="6"/>
        <v>0</v>
      </c>
      <c r="N55" s="94">
        <f t="shared" si="6"/>
        <v>2.5000000000000001E-2</v>
      </c>
      <c r="O55" s="94">
        <f t="shared" si="6"/>
        <v>2.5000000000000001E-2</v>
      </c>
      <c r="P55" s="94">
        <f t="shared" si="6"/>
        <v>0</v>
      </c>
      <c r="Q55" s="94">
        <f t="shared" si="6"/>
        <v>0</v>
      </c>
      <c r="R55" s="95">
        <f t="shared" si="5"/>
        <v>0.1</v>
      </c>
    </row>
    <row r="56" spans="2:19" ht="15" customHeight="1" x14ac:dyDescent="0.15">
      <c r="B56" s="93" t="str">
        <f t="shared" si="3"/>
        <v>River CP</v>
      </c>
      <c r="C56" s="94">
        <f t="shared" ref="C56:Q56" si="7">C42*$C$7</f>
        <v>0</v>
      </c>
      <c r="D56" s="94">
        <f t="shared" si="7"/>
        <v>0.1</v>
      </c>
      <c r="E56" s="94">
        <f t="shared" si="7"/>
        <v>0</v>
      </c>
      <c r="F56" s="94">
        <f t="shared" si="7"/>
        <v>0</v>
      </c>
      <c r="G56" s="94">
        <f t="shared" si="7"/>
        <v>0</v>
      </c>
      <c r="H56" s="94">
        <f t="shared" si="7"/>
        <v>0</v>
      </c>
      <c r="I56" s="94">
        <f t="shared" si="7"/>
        <v>6.25E-2</v>
      </c>
      <c r="J56" s="94">
        <f t="shared" si="7"/>
        <v>0</v>
      </c>
      <c r="K56" s="94">
        <f t="shared" si="7"/>
        <v>0</v>
      </c>
      <c r="L56" s="94">
        <f t="shared" si="7"/>
        <v>0.125</v>
      </c>
      <c r="M56" s="94">
        <f t="shared" si="7"/>
        <v>0</v>
      </c>
      <c r="N56" s="94">
        <f t="shared" si="7"/>
        <v>0.125</v>
      </c>
      <c r="O56" s="94">
        <f t="shared" si="7"/>
        <v>2.5000000000000001E-2</v>
      </c>
      <c r="P56" s="94">
        <f t="shared" si="7"/>
        <v>6.25E-2</v>
      </c>
      <c r="Q56" s="94">
        <f t="shared" si="7"/>
        <v>0</v>
      </c>
      <c r="R56" s="95">
        <f t="shared" si="5"/>
        <v>0.5</v>
      </c>
    </row>
    <row r="57" spans="2:19" ht="15" customHeight="1" x14ac:dyDescent="0.15">
      <c r="B57" s="93" t="str">
        <f t="shared" si="3"/>
        <v>Vanguard Global Stk</v>
      </c>
      <c r="C57" s="94">
        <f t="shared" ref="C57:Q57" si="8">C43*$C$8</f>
        <v>0</v>
      </c>
      <c r="D57" s="94">
        <f t="shared" si="8"/>
        <v>0.1</v>
      </c>
      <c r="E57" s="94">
        <f t="shared" si="8"/>
        <v>0</v>
      </c>
      <c r="F57" s="94">
        <f t="shared" si="8"/>
        <v>0</v>
      </c>
      <c r="G57" s="94">
        <f t="shared" si="8"/>
        <v>0</v>
      </c>
      <c r="H57" s="94">
        <f t="shared" si="8"/>
        <v>0</v>
      </c>
      <c r="I57" s="94">
        <f t="shared" si="8"/>
        <v>0</v>
      </c>
      <c r="J57" s="94">
        <f t="shared" si="8"/>
        <v>0</v>
      </c>
      <c r="K57" s="94">
        <f t="shared" si="8"/>
        <v>0</v>
      </c>
      <c r="L57" s="94">
        <f t="shared" si="8"/>
        <v>0</v>
      </c>
      <c r="M57" s="94">
        <f t="shared" si="8"/>
        <v>0</v>
      </c>
      <c r="N57" s="94">
        <f t="shared" si="8"/>
        <v>0</v>
      </c>
      <c r="O57" s="94">
        <f t="shared" si="8"/>
        <v>0</v>
      </c>
      <c r="P57" s="94">
        <f t="shared" si="8"/>
        <v>0</v>
      </c>
      <c r="Q57" s="94">
        <f t="shared" si="8"/>
        <v>0</v>
      </c>
      <c r="R57" s="95">
        <f t="shared" si="5"/>
        <v>0.1</v>
      </c>
    </row>
    <row r="58" spans="2:19" ht="15" customHeight="1" x14ac:dyDescent="0.15">
      <c r="B58" s="93" t="str">
        <f t="shared" si="3"/>
        <v>Fundsmith Equity T</v>
      </c>
      <c r="C58" s="94">
        <f t="shared" ref="C58:Q58" si="9">C44*$C$9</f>
        <v>0</v>
      </c>
      <c r="D58" s="94">
        <f t="shared" si="9"/>
        <v>0</v>
      </c>
      <c r="E58" s="94">
        <f t="shared" si="9"/>
        <v>0.05</v>
      </c>
      <c r="F58" s="94">
        <f t="shared" si="9"/>
        <v>0</v>
      </c>
      <c r="G58" s="94">
        <f t="shared" si="9"/>
        <v>0</v>
      </c>
      <c r="H58" s="94">
        <f t="shared" si="9"/>
        <v>0</v>
      </c>
      <c r="I58" s="94">
        <f t="shared" si="9"/>
        <v>0</v>
      </c>
      <c r="J58" s="94">
        <f t="shared" si="9"/>
        <v>0</v>
      </c>
      <c r="K58" s="94">
        <f t="shared" si="9"/>
        <v>0</v>
      </c>
      <c r="L58" s="94">
        <f t="shared" si="9"/>
        <v>0</v>
      </c>
      <c r="M58" s="94">
        <f t="shared" si="9"/>
        <v>0</v>
      </c>
      <c r="N58" s="94">
        <f t="shared" si="9"/>
        <v>0</v>
      </c>
      <c r="O58" s="94">
        <f t="shared" si="9"/>
        <v>0</v>
      </c>
      <c r="P58" s="94">
        <f t="shared" si="9"/>
        <v>0</v>
      </c>
      <c r="Q58" s="94">
        <f t="shared" si="9"/>
        <v>0</v>
      </c>
      <c r="R58" s="95">
        <f t="shared" si="5"/>
        <v>0.05</v>
      </c>
    </row>
    <row r="59" spans="2:19" ht="15" customHeight="1" x14ac:dyDescent="0.15">
      <c r="B59" s="93" t="str">
        <f t="shared" si="3"/>
        <v>True Value</v>
      </c>
      <c r="C59" s="94">
        <f t="shared" ref="C59:Q59" si="10">C45*$C$10</f>
        <v>0</v>
      </c>
      <c r="D59" s="94">
        <f t="shared" si="10"/>
        <v>0</v>
      </c>
      <c r="E59" s="94">
        <f t="shared" si="10"/>
        <v>0</v>
      </c>
      <c r="F59" s="94">
        <f t="shared" si="10"/>
        <v>0.05</v>
      </c>
      <c r="G59" s="94">
        <f t="shared" si="10"/>
        <v>0</v>
      </c>
      <c r="H59" s="94">
        <f t="shared" si="10"/>
        <v>0</v>
      </c>
      <c r="I59" s="94">
        <f t="shared" si="10"/>
        <v>0</v>
      </c>
      <c r="J59" s="94">
        <f t="shared" si="10"/>
        <v>0</v>
      </c>
      <c r="K59" s="94">
        <f t="shared" si="10"/>
        <v>0</v>
      </c>
      <c r="L59" s="94">
        <f t="shared" si="10"/>
        <v>0</v>
      </c>
      <c r="M59" s="94">
        <f t="shared" si="10"/>
        <v>0</v>
      </c>
      <c r="N59" s="94">
        <f t="shared" si="10"/>
        <v>0</v>
      </c>
      <c r="O59" s="94">
        <f t="shared" si="10"/>
        <v>0</v>
      </c>
      <c r="P59" s="94">
        <f t="shared" si="10"/>
        <v>0</v>
      </c>
      <c r="Q59" s="94">
        <f t="shared" si="10"/>
        <v>0</v>
      </c>
      <c r="R59" s="95">
        <f t="shared" si="5"/>
        <v>0.05</v>
      </c>
    </row>
    <row r="60" spans="2:19" ht="15" customHeight="1" x14ac:dyDescent="0.15">
      <c r="B60" s="93" t="str">
        <f t="shared" si="3"/>
        <v>MFS - Prudent Wealth Fund A1</v>
      </c>
      <c r="C60" s="94">
        <f t="shared" ref="C60:Q60" si="11">C46*$C$11</f>
        <v>0</v>
      </c>
      <c r="D60" s="94">
        <f t="shared" si="11"/>
        <v>2.5000000000000001E-2</v>
      </c>
      <c r="E60" s="94">
        <f t="shared" si="11"/>
        <v>0</v>
      </c>
      <c r="F60" s="94">
        <f t="shared" si="11"/>
        <v>0</v>
      </c>
      <c r="G60" s="94">
        <f t="shared" si="11"/>
        <v>0</v>
      </c>
      <c r="H60" s="94">
        <f t="shared" si="11"/>
        <v>0</v>
      </c>
      <c r="I60" s="94">
        <f t="shared" si="11"/>
        <v>2.5000000000000001E-2</v>
      </c>
      <c r="J60" s="94">
        <f t="shared" si="11"/>
        <v>0</v>
      </c>
      <c r="K60" s="94">
        <f t="shared" si="11"/>
        <v>0</v>
      </c>
      <c r="L60" s="94">
        <f t="shared" si="11"/>
        <v>0</v>
      </c>
      <c r="M60" s="94">
        <f t="shared" si="11"/>
        <v>0</v>
      </c>
      <c r="N60" s="94">
        <f t="shared" si="11"/>
        <v>0</v>
      </c>
      <c r="O60" s="94">
        <f t="shared" si="11"/>
        <v>0</v>
      </c>
      <c r="P60" s="94">
        <f t="shared" si="11"/>
        <v>0</v>
      </c>
      <c r="Q60" s="94">
        <f t="shared" si="11"/>
        <v>0</v>
      </c>
      <c r="R60" s="95">
        <f t="shared" si="5"/>
        <v>0.05</v>
      </c>
    </row>
    <row r="61" spans="2:19" ht="15" customHeight="1" x14ac:dyDescent="0.15">
      <c r="B61" s="93">
        <f t="shared" si="3"/>
        <v>0</v>
      </c>
      <c r="C61" s="94">
        <f t="shared" ref="C61:Q61" si="12">C47*$C$12</f>
        <v>0</v>
      </c>
      <c r="D61" s="94">
        <f t="shared" si="12"/>
        <v>0</v>
      </c>
      <c r="E61" s="94">
        <f t="shared" si="12"/>
        <v>0</v>
      </c>
      <c r="F61" s="94">
        <f t="shared" si="12"/>
        <v>0</v>
      </c>
      <c r="G61" s="94">
        <f t="shared" si="12"/>
        <v>0</v>
      </c>
      <c r="H61" s="94">
        <f t="shared" si="12"/>
        <v>0</v>
      </c>
      <c r="I61" s="94">
        <f t="shared" si="12"/>
        <v>0</v>
      </c>
      <c r="J61" s="94">
        <f t="shared" si="12"/>
        <v>0</v>
      </c>
      <c r="K61" s="94">
        <f t="shared" si="12"/>
        <v>0</v>
      </c>
      <c r="L61" s="94">
        <f t="shared" si="12"/>
        <v>0</v>
      </c>
      <c r="M61" s="94">
        <f t="shared" si="12"/>
        <v>0</v>
      </c>
      <c r="N61" s="94">
        <f t="shared" si="12"/>
        <v>0</v>
      </c>
      <c r="O61" s="94">
        <f t="shared" si="12"/>
        <v>0</v>
      </c>
      <c r="P61" s="94">
        <f t="shared" si="12"/>
        <v>0</v>
      </c>
      <c r="Q61" s="94">
        <f t="shared" si="12"/>
        <v>0</v>
      </c>
      <c r="R61" s="95">
        <f t="shared" si="5"/>
        <v>0</v>
      </c>
    </row>
    <row r="62" spans="2:19" ht="15" customHeight="1" x14ac:dyDescent="0.15">
      <c r="B62" s="93">
        <f t="shared" si="3"/>
        <v>0</v>
      </c>
      <c r="C62" s="94">
        <f t="shared" ref="C62:Q62" si="13">C48*$C$13</f>
        <v>0</v>
      </c>
      <c r="D62" s="94">
        <f t="shared" si="13"/>
        <v>0</v>
      </c>
      <c r="E62" s="94">
        <f t="shared" si="13"/>
        <v>0</v>
      </c>
      <c r="F62" s="94">
        <f t="shared" si="13"/>
        <v>0</v>
      </c>
      <c r="G62" s="94">
        <f t="shared" si="13"/>
        <v>0</v>
      </c>
      <c r="H62" s="94">
        <f t="shared" si="13"/>
        <v>0</v>
      </c>
      <c r="I62" s="94">
        <f t="shared" si="13"/>
        <v>0</v>
      </c>
      <c r="J62" s="94">
        <f t="shared" si="13"/>
        <v>0</v>
      </c>
      <c r="K62" s="94">
        <f t="shared" si="13"/>
        <v>0</v>
      </c>
      <c r="L62" s="94">
        <f t="shared" si="13"/>
        <v>0</v>
      </c>
      <c r="M62" s="94">
        <f t="shared" si="13"/>
        <v>0</v>
      </c>
      <c r="N62" s="94">
        <f t="shared" si="13"/>
        <v>0</v>
      </c>
      <c r="O62" s="94">
        <f t="shared" si="13"/>
        <v>0</v>
      </c>
      <c r="P62" s="94">
        <f t="shared" si="13"/>
        <v>0</v>
      </c>
      <c r="Q62" s="94">
        <f t="shared" si="13"/>
        <v>0</v>
      </c>
      <c r="R62" s="95">
        <f t="shared" si="5"/>
        <v>0</v>
      </c>
    </row>
    <row r="63" spans="2:19" x14ac:dyDescent="0.15">
      <c r="B63" s="58"/>
      <c r="C63" s="177">
        <f t="shared" ref="C63:Q63" si="14">SUM(C54:C62)</f>
        <v>7.4999999999999997E-2</v>
      </c>
      <c r="D63" s="177">
        <f t="shared" si="14"/>
        <v>0.25</v>
      </c>
      <c r="E63" s="177">
        <f t="shared" si="14"/>
        <v>0.05</v>
      </c>
      <c r="F63" s="177">
        <f t="shared" si="14"/>
        <v>0.05</v>
      </c>
      <c r="G63" s="177">
        <f t="shared" si="14"/>
        <v>0</v>
      </c>
      <c r="H63" s="177">
        <f t="shared" si="14"/>
        <v>2.5000000000000001E-2</v>
      </c>
      <c r="I63" s="177">
        <f t="shared" si="14"/>
        <v>0.11749999999999999</v>
      </c>
      <c r="J63" s="177">
        <f t="shared" si="14"/>
        <v>0</v>
      </c>
      <c r="K63" s="177">
        <f t="shared" si="14"/>
        <v>0</v>
      </c>
      <c r="L63" s="177">
        <f t="shared" si="14"/>
        <v>0.125</v>
      </c>
      <c r="M63" s="177">
        <f t="shared" si="14"/>
        <v>7.4999999999999997E-3</v>
      </c>
      <c r="N63" s="177">
        <f t="shared" si="14"/>
        <v>0.15</v>
      </c>
      <c r="O63" s="177">
        <f t="shared" si="14"/>
        <v>5.7500000000000002E-2</v>
      </c>
      <c r="P63" s="177">
        <f t="shared" si="14"/>
        <v>7.7499999999999999E-2</v>
      </c>
      <c r="Q63" s="177">
        <f t="shared" si="14"/>
        <v>1.4999999999999999E-2</v>
      </c>
      <c r="R63" s="30">
        <f>SUM(R54:R60)</f>
        <v>1</v>
      </c>
    </row>
    <row r="64" spans="2:19" ht="15" customHeight="1" x14ac:dyDescent="0.15">
      <c r="B64" s="58"/>
      <c r="C64" s="196">
        <f>C63+D63+E63+F63</f>
        <v>0.42499999999999999</v>
      </c>
      <c r="D64" s="197"/>
      <c r="E64" s="197"/>
      <c r="F64" s="197"/>
      <c r="G64" s="199">
        <f>G63+H63+I63</f>
        <v>0.14249999999999999</v>
      </c>
      <c r="H64" s="197"/>
      <c r="I64" s="197"/>
      <c r="J64" s="199">
        <f>J63+K63+L63</f>
        <v>0.125</v>
      </c>
      <c r="K64" s="197"/>
      <c r="L64" s="197"/>
      <c r="M64" s="196">
        <f>M63+N63</f>
        <v>0.1575</v>
      </c>
      <c r="N64" s="197"/>
      <c r="O64" s="97"/>
      <c r="P64" s="196">
        <f>P63+Q63</f>
        <v>9.2499999999999999E-2</v>
      </c>
      <c r="Q64" s="197"/>
      <c r="R64" s="58"/>
    </row>
    <row r="65" spans="2:19" ht="15" customHeight="1" x14ac:dyDescent="0.15">
      <c r="B65" s="58"/>
      <c r="C65" s="58"/>
      <c r="D65" s="58"/>
      <c r="E65" s="97"/>
      <c r="F65" s="97"/>
      <c r="G65" s="196">
        <f>G64+J64</f>
        <v>0.26749999999999996</v>
      </c>
      <c r="H65" s="197"/>
      <c r="I65" s="197"/>
      <c r="J65" s="197"/>
      <c r="K65" s="197"/>
      <c r="L65" s="197"/>
      <c r="M65" s="108"/>
      <c r="N65" s="108"/>
      <c r="O65" s="108"/>
      <c r="P65" s="108"/>
      <c r="Q65" s="108"/>
      <c r="R65" s="108"/>
    </row>
    <row r="66" spans="2:19" x14ac:dyDescent="0.15">
      <c r="B66" s="58"/>
      <c r="C66" s="58"/>
      <c r="D66" s="5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58"/>
      <c r="P66" s="58"/>
      <c r="Q66" s="58"/>
      <c r="R66" s="58"/>
      <c r="S66" s="58"/>
    </row>
    <row r="67" spans="2:19" x14ac:dyDescent="0.15"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</row>
    <row r="68" spans="2:19" x14ac:dyDescent="0.15"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</row>
    <row r="69" spans="2:19" x14ac:dyDescent="0.15"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</row>
    <row r="70" spans="2:19" x14ac:dyDescent="0.15"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</row>
    <row r="71" spans="2:19" x14ac:dyDescent="0.15"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</row>
    <row r="72" spans="2:19" x14ac:dyDescent="0.15"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</row>
    <row r="73" spans="2:19" x14ac:dyDescent="0.15"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</row>
    <row r="74" spans="2:19" x14ac:dyDescent="0.15"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</row>
    <row r="75" spans="2:19" x14ac:dyDescent="0.15">
      <c r="B75" s="58"/>
      <c r="C75" s="58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</row>
    <row r="76" spans="2:19" x14ac:dyDescent="0.15"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</row>
    <row r="77" spans="2:19" x14ac:dyDescent="0.15"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</row>
    <row r="78" spans="2:19" x14ac:dyDescent="0.15"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</row>
    <row r="79" spans="2:19" x14ac:dyDescent="0.15"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</row>
    <row r="80" spans="2:19" x14ac:dyDescent="0.15">
      <c r="B80" s="58"/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</row>
    <row r="81" spans="2:19" x14ac:dyDescent="0.15">
      <c r="B81" s="58"/>
      <c r="C81" s="58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</row>
    <row r="82" spans="2:19" x14ac:dyDescent="0.15">
      <c r="B82" s="58"/>
      <c r="C82" s="58"/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</row>
    <row r="83" spans="2:19" x14ac:dyDescent="0.15">
      <c r="B83" s="58"/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</row>
    <row r="84" spans="2:19" x14ac:dyDescent="0.15">
      <c r="B84" s="58"/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</row>
    <row r="85" spans="2:19" x14ac:dyDescent="0.15"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</row>
    <row r="86" spans="2:19" x14ac:dyDescent="0.15">
      <c r="B86" s="58"/>
      <c r="C86" s="58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</row>
    <row r="87" spans="2:19" x14ac:dyDescent="0.15">
      <c r="B87" s="58"/>
      <c r="C87" s="58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</row>
    <row r="88" spans="2:19" x14ac:dyDescent="0.15"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</row>
    <row r="89" spans="2:19" x14ac:dyDescent="0.15">
      <c r="B89" s="5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</row>
    <row r="90" spans="2:19" x14ac:dyDescent="0.15">
      <c r="B90" s="58"/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</row>
    <row r="91" spans="2:19" x14ac:dyDescent="0.15"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</row>
    <row r="92" spans="2:19" x14ac:dyDescent="0.15">
      <c r="B92" s="58"/>
      <c r="C92" s="58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</row>
    <row r="93" spans="2:19" x14ac:dyDescent="0.15">
      <c r="B93" s="58"/>
      <c r="C93" s="58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</row>
    <row r="94" spans="2:19" x14ac:dyDescent="0.15">
      <c r="B94" s="58"/>
      <c r="C94" s="58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</row>
    <row r="95" spans="2:19" x14ac:dyDescent="0.15">
      <c r="B95" s="58"/>
      <c r="C95" s="58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</row>
    <row r="96" spans="2:19" x14ac:dyDescent="0.15">
      <c r="B96" s="58"/>
      <c r="C96" s="58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</row>
    <row r="97" spans="2:19" x14ac:dyDescent="0.15"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</row>
    <row r="98" spans="2:19" x14ac:dyDescent="0.15"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</row>
    <row r="99" spans="2:19" x14ac:dyDescent="0.15">
      <c r="B99" s="58"/>
      <c r="C99" s="58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</row>
    <row r="100" spans="2:19" x14ac:dyDescent="0.15">
      <c r="B100" s="58"/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</row>
    <row r="101" spans="2:19" x14ac:dyDescent="0.15"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</row>
    <row r="102" spans="2:19" x14ac:dyDescent="0.15"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</row>
    <row r="103" spans="2:19" x14ac:dyDescent="0.15"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</row>
    <row r="104" spans="2:19" x14ac:dyDescent="0.15"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</row>
    <row r="105" spans="2:19" x14ac:dyDescent="0.15"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</row>
    <row r="106" spans="2:19" x14ac:dyDescent="0.15"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</row>
    <row r="107" spans="2:19" x14ac:dyDescent="0.15"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</row>
    <row r="108" spans="2:19" x14ac:dyDescent="0.15"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</row>
    <row r="109" spans="2:19" x14ac:dyDescent="0.15"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</row>
    <row r="110" spans="2:19" x14ac:dyDescent="0.15"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</row>
    <row r="111" spans="2:19" x14ac:dyDescent="0.15"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</row>
    <row r="112" spans="2:19" x14ac:dyDescent="0.15"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</row>
    <row r="113" spans="2:19" x14ac:dyDescent="0.15"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</row>
    <row r="114" spans="2:19" x14ac:dyDescent="0.15"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</row>
    <row r="115" spans="2:19" x14ac:dyDescent="0.15"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</row>
    <row r="116" spans="2:19" x14ac:dyDescent="0.15"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</row>
    <row r="117" spans="2:19" x14ac:dyDescent="0.15"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</row>
    <row r="118" spans="2:19" x14ac:dyDescent="0.15"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</row>
    <row r="119" spans="2:19" x14ac:dyDescent="0.15"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</row>
    <row r="120" spans="2:19" x14ac:dyDescent="0.15"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</row>
    <row r="121" spans="2:19" x14ac:dyDescent="0.15"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</row>
    <row r="122" spans="2:19" x14ac:dyDescent="0.15"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</row>
    <row r="123" spans="2:19" x14ac:dyDescent="0.15"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</row>
    <row r="124" spans="2:19" x14ac:dyDescent="0.15"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</row>
    <row r="125" spans="2:19" x14ac:dyDescent="0.15"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</row>
    <row r="126" spans="2:19" x14ac:dyDescent="0.15"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</row>
    <row r="127" spans="2:19" x14ac:dyDescent="0.15"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</row>
    <row r="128" spans="2:19" x14ac:dyDescent="0.15"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</row>
    <row r="129" spans="2:19" x14ac:dyDescent="0.15"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</row>
    <row r="130" spans="2:19" x14ac:dyDescent="0.15"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</row>
    <row r="131" spans="2:19" x14ac:dyDescent="0.15"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</row>
    <row r="132" spans="2:19" x14ac:dyDescent="0.15"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</row>
    <row r="133" spans="2:19" x14ac:dyDescent="0.15"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</row>
    <row r="134" spans="2:19" x14ac:dyDescent="0.15"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</row>
    <row r="135" spans="2:19" x14ac:dyDescent="0.15"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</row>
    <row r="136" spans="2:19" x14ac:dyDescent="0.15"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</row>
    <row r="137" spans="2:19" x14ac:dyDescent="0.15"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</row>
    <row r="138" spans="2:19" x14ac:dyDescent="0.15"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</row>
    <row r="139" spans="2:19" x14ac:dyDescent="0.15"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</row>
    <row r="140" spans="2:19" x14ac:dyDescent="0.15"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</row>
    <row r="141" spans="2:19" x14ac:dyDescent="0.15"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</row>
    <row r="142" spans="2:19" x14ac:dyDescent="0.15"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</row>
    <row r="143" spans="2:19" x14ac:dyDescent="0.15"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</row>
    <row r="144" spans="2:19" x14ac:dyDescent="0.15"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</row>
    <row r="145" spans="2:19" x14ac:dyDescent="0.15"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</row>
    <row r="146" spans="2:19" x14ac:dyDescent="0.15"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</row>
    <row r="147" spans="2:19" x14ac:dyDescent="0.15"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</row>
    <row r="148" spans="2:19" x14ac:dyDescent="0.15"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</row>
    <row r="149" spans="2:19" x14ac:dyDescent="0.15"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</row>
    <row r="150" spans="2:19" x14ac:dyDescent="0.15"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</row>
    <row r="151" spans="2:19" x14ac:dyDescent="0.15"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</row>
    <row r="152" spans="2:19" x14ac:dyDescent="0.15"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</row>
    <row r="153" spans="2:19" x14ac:dyDescent="0.15"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</row>
    <row r="154" spans="2:19" x14ac:dyDescent="0.15"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</row>
    <row r="155" spans="2:19" x14ac:dyDescent="0.15"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</row>
    <row r="156" spans="2:19" x14ac:dyDescent="0.15"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</row>
    <row r="157" spans="2:19" x14ac:dyDescent="0.15"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</row>
    <row r="158" spans="2:19" x14ac:dyDescent="0.15"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</row>
    <row r="159" spans="2:19" x14ac:dyDescent="0.15"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</row>
    <row r="160" spans="2:19" x14ac:dyDescent="0.15"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</row>
    <row r="161" spans="2:19" x14ac:dyDescent="0.15"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</row>
    <row r="162" spans="2:19" x14ac:dyDescent="0.15"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</row>
    <row r="163" spans="2:19" x14ac:dyDescent="0.15"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</row>
    <row r="164" spans="2:19" x14ac:dyDescent="0.15"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</row>
    <row r="165" spans="2:19" x14ac:dyDescent="0.15">
      <c r="B165" s="58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</row>
    <row r="166" spans="2:19" x14ac:dyDescent="0.15"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</row>
    <row r="167" spans="2:19" x14ac:dyDescent="0.15">
      <c r="B167" s="58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</row>
    <row r="168" spans="2:19" x14ac:dyDescent="0.15"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</row>
    <row r="169" spans="2:19" x14ac:dyDescent="0.15">
      <c r="B169" s="58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</row>
    <row r="170" spans="2:19" x14ac:dyDescent="0.15"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</row>
    <row r="171" spans="2:19" x14ac:dyDescent="0.15">
      <c r="B171" s="58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</row>
    <row r="172" spans="2:19" x14ac:dyDescent="0.15"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</row>
    <row r="173" spans="2:19" x14ac:dyDescent="0.15">
      <c r="B173" s="58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</row>
    <row r="174" spans="2:19" x14ac:dyDescent="0.15"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</row>
    <row r="175" spans="2:19" x14ac:dyDescent="0.15">
      <c r="B175" s="58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</row>
    <row r="176" spans="2:19" x14ac:dyDescent="0.15"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</row>
    <row r="177" spans="2:19" x14ac:dyDescent="0.15"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</row>
    <row r="178" spans="2:19" x14ac:dyDescent="0.15"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</row>
    <row r="179" spans="2:19" x14ac:dyDescent="0.15">
      <c r="B179" s="58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/>
      <c r="P179" s="58"/>
      <c r="Q179" s="58"/>
      <c r="R179" s="58"/>
      <c r="S179" s="58"/>
    </row>
    <row r="180" spans="2:19" x14ac:dyDescent="0.15"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58"/>
      <c r="Q180" s="58"/>
      <c r="R180" s="58"/>
      <c r="S180" s="58"/>
    </row>
    <row r="181" spans="2:19" x14ac:dyDescent="0.15">
      <c r="B181" s="58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</row>
    <row r="182" spans="2:19" x14ac:dyDescent="0.15"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</row>
    <row r="183" spans="2:19" x14ac:dyDescent="0.15">
      <c r="B183" s="58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</row>
    <row r="184" spans="2:19" x14ac:dyDescent="0.15"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</row>
    <row r="185" spans="2:19" x14ac:dyDescent="0.15">
      <c r="B185" s="58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</row>
    <row r="186" spans="2:19" x14ac:dyDescent="0.15"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</row>
    <row r="187" spans="2:19" x14ac:dyDescent="0.15">
      <c r="B187" s="58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</row>
    <row r="188" spans="2:19" x14ac:dyDescent="0.15"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</row>
    <row r="189" spans="2:19" x14ac:dyDescent="0.15">
      <c r="B189" s="58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</row>
    <row r="190" spans="2:19" x14ac:dyDescent="0.15"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</row>
    <row r="191" spans="2:19" x14ac:dyDescent="0.15">
      <c r="B191" s="58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</row>
    <row r="192" spans="2:19" x14ac:dyDescent="0.15"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</row>
    <row r="193" spans="2:19" x14ac:dyDescent="0.15"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</row>
    <row r="194" spans="2:19" x14ac:dyDescent="0.15"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</row>
    <row r="195" spans="2:19" x14ac:dyDescent="0.15"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</row>
    <row r="196" spans="2:19" x14ac:dyDescent="0.15"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</row>
    <row r="197" spans="2:19" x14ac:dyDescent="0.15"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</row>
    <row r="198" spans="2:19" x14ac:dyDescent="0.15"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</row>
    <row r="199" spans="2:19" x14ac:dyDescent="0.15"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</row>
    <row r="200" spans="2:19" x14ac:dyDescent="0.15"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</row>
    <row r="201" spans="2:19" x14ac:dyDescent="0.15">
      <c r="B201" s="58"/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58"/>
      <c r="S201" s="58"/>
    </row>
    <row r="202" spans="2:19" x14ac:dyDescent="0.15">
      <c r="B202" s="58"/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</row>
    <row r="203" spans="2:19" x14ac:dyDescent="0.15">
      <c r="B203" s="58"/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</row>
    <row r="204" spans="2:19" x14ac:dyDescent="0.15">
      <c r="B204" s="58"/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</row>
    <row r="205" spans="2:19" x14ac:dyDescent="0.15">
      <c r="B205" s="58"/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</row>
    <row r="206" spans="2:19" x14ac:dyDescent="0.15">
      <c r="B206" s="58"/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</row>
    <row r="207" spans="2:19" x14ac:dyDescent="0.15">
      <c r="B207" s="58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</row>
    <row r="208" spans="2:19" x14ac:dyDescent="0.15">
      <c r="B208" s="58"/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</row>
    <row r="209" spans="2:19" x14ac:dyDescent="0.15">
      <c r="B209" s="58"/>
      <c r="C209" s="58"/>
      <c r="D209" s="58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</row>
    <row r="210" spans="2:19" x14ac:dyDescent="0.15">
      <c r="B210" s="58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</row>
    <row r="211" spans="2:19" x14ac:dyDescent="0.15">
      <c r="B211" s="58"/>
      <c r="C211" s="58"/>
      <c r="D211" s="58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</row>
    <row r="212" spans="2:19" x14ac:dyDescent="0.15">
      <c r="B212" s="58"/>
      <c r="C212" s="58"/>
      <c r="D212" s="58"/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/>
      <c r="P212" s="58"/>
      <c r="Q212" s="58"/>
      <c r="R212" s="58"/>
      <c r="S212" s="58"/>
    </row>
    <row r="213" spans="2:19" x14ac:dyDescent="0.15">
      <c r="B213" s="58"/>
      <c r="C213" s="58"/>
      <c r="D213" s="58"/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/>
      <c r="P213" s="58"/>
      <c r="Q213" s="58"/>
      <c r="R213" s="58"/>
      <c r="S213" s="58"/>
    </row>
    <row r="214" spans="2:19" x14ac:dyDescent="0.15">
      <c r="B214" s="58"/>
      <c r="C214" s="58"/>
      <c r="D214" s="58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</row>
    <row r="215" spans="2:19" x14ac:dyDescent="0.15">
      <c r="B215" s="58"/>
      <c r="C215" s="58"/>
      <c r="D215" s="58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</row>
    <row r="216" spans="2:19" x14ac:dyDescent="0.15">
      <c r="B216" s="58"/>
      <c r="C216" s="58"/>
      <c r="D216" s="58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</row>
    <row r="217" spans="2:19" x14ac:dyDescent="0.15">
      <c r="B217" s="58"/>
      <c r="C217" s="58"/>
      <c r="D217" s="58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</row>
    <row r="218" spans="2:19" x14ac:dyDescent="0.15">
      <c r="B218" s="58"/>
      <c r="C218" s="58"/>
      <c r="D218" s="58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</row>
    <row r="219" spans="2:19" x14ac:dyDescent="0.15">
      <c r="B219" s="58"/>
      <c r="C219" s="58"/>
      <c r="D219" s="58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</row>
    <row r="220" spans="2:19" x14ac:dyDescent="0.15">
      <c r="B220" s="58"/>
      <c r="C220" s="58"/>
      <c r="D220" s="58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</row>
    <row r="221" spans="2:19" x14ac:dyDescent="0.15">
      <c r="B221" s="58"/>
      <c r="C221" s="58"/>
      <c r="D221" s="58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</row>
    <row r="222" spans="2:19" x14ac:dyDescent="0.15">
      <c r="B222" s="58"/>
      <c r="C222" s="58"/>
      <c r="D222" s="58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</row>
    <row r="223" spans="2:19" x14ac:dyDescent="0.15">
      <c r="B223" s="58"/>
      <c r="C223" s="58"/>
      <c r="D223" s="58"/>
      <c r="E223" s="58"/>
      <c r="F223" s="58"/>
      <c r="G223" s="58"/>
      <c r="H223" s="58"/>
      <c r="I223" s="58"/>
      <c r="J223" s="58"/>
      <c r="K223" s="58"/>
      <c r="L223" s="58"/>
      <c r="M223" s="58"/>
      <c r="N223" s="58"/>
      <c r="O223" s="58"/>
      <c r="P223" s="58"/>
      <c r="Q223" s="58"/>
      <c r="R223" s="58"/>
      <c r="S223" s="58"/>
    </row>
    <row r="224" spans="2:19" x14ac:dyDescent="0.15">
      <c r="B224" s="58"/>
      <c r="C224" s="58"/>
      <c r="D224" s="58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58"/>
      <c r="P224" s="58"/>
      <c r="Q224" s="58"/>
      <c r="R224" s="58"/>
      <c r="S224" s="58"/>
    </row>
    <row r="225" spans="2:19" x14ac:dyDescent="0.15">
      <c r="B225" s="58"/>
      <c r="C225" s="58"/>
      <c r="D225" s="58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</row>
    <row r="226" spans="2:19" x14ac:dyDescent="0.15">
      <c r="B226" s="58"/>
      <c r="C226" s="58"/>
      <c r="D226" s="58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</row>
    <row r="227" spans="2:19" x14ac:dyDescent="0.15">
      <c r="B227" s="58"/>
      <c r="C227" s="58"/>
      <c r="D227" s="58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</row>
    <row r="228" spans="2:19" x14ac:dyDescent="0.15">
      <c r="B228" s="58"/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</row>
    <row r="229" spans="2:19" x14ac:dyDescent="0.15">
      <c r="B229" s="58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</row>
    <row r="230" spans="2:19" x14ac:dyDescent="0.15">
      <c r="B230" s="58"/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</row>
    <row r="231" spans="2:19" x14ac:dyDescent="0.15">
      <c r="B231" s="58"/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</row>
    <row r="232" spans="2:19" x14ac:dyDescent="0.15">
      <c r="B232" s="58"/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</row>
    <row r="233" spans="2:19" x14ac:dyDescent="0.15">
      <c r="B233" s="58"/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</row>
    <row r="234" spans="2:19" x14ac:dyDescent="0.15">
      <c r="B234" s="58"/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58"/>
      <c r="Q234" s="58"/>
      <c r="R234" s="58"/>
      <c r="S234" s="58"/>
    </row>
    <row r="235" spans="2:19" x14ac:dyDescent="0.15">
      <c r="B235" s="58"/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</row>
    <row r="236" spans="2:19" x14ac:dyDescent="0.15">
      <c r="B236" s="58"/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</row>
    <row r="237" spans="2:19" x14ac:dyDescent="0.15">
      <c r="B237" s="58"/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</row>
    <row r="238" spans="2:19" x14ac:dyDescent="0.15">
      <c r="B238" s="58"/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</row>
    <row r="239" spans="2:19" x14ac:dyDescent="0.15">
      <c r="B239" s="58"/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</row>
    <row r="240" spans="2:19" x14ac:dyDescent="0.15">
      <c r="B240" s="58"/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</row>
    <row r="241" spans="2:19" x14ac:dyDescent="0.15">
      <c r="B241" s="58"/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</row>
    <row r="242" spans="2:19" x14ac:dyDescent="0.15">
      <c r="B242" s="58"/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</row>
    <row r="243" spans="2:19" x14ac:dyDescent="0.15">
      <c r="B243" s="58"/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</row>
    <row r="244" spans="2:19" x14ac:dyDescent="0.15">
      <c r="B244" s="58"/>
      <c r="C244" s="58"/>
      <c r="D244" s="58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</row>
    <row r="245" spans="2:19" x14ac:dyDescent="0.15">
      <c r="B245" s="58"/>
      <c r="C245" s="58"/>
      <c r="D245" s="58"/>
      <c r="E245" s="58"/>
      <c r="F245" s="58"/>
      <c r="G245" s="58"/>
      <c r="H245" s="58"/>
      <c r="I245" s="58"/>
      <c r="J245" s="58"/>
      <c r="K245" s="58"/>
      <c r="L245" s="58"/>
      <c r="M245" s="58"/>
      <c r="N245" s="58"/>
      <c r="O245" s="58"/>
      <c r="P245" s="58"/>
      <c r="Q245" s="58"/>
      <c r="R245" s="58"/>
      <c r="S245" s="58"/>
    </row>
    <row r="246" spans="2:19" x14ac:dyDescent="0.15">
      <c r="B246" s="58"/>
      <c r="C246" s="58"/>
      <c r="D246" s="58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58"/>
      <c r="Q246" s="58"/>
      <c r="R246" s="58"/>
      <c r="S246" s="58"/>
    </row>
    <row r="247" spans="2:19" x14ac:dyDescent="0.15">
      <c r="B247" s="58"/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</row>
    <row r="248" spans="2:19" x14ac:dyDescent="0.15">
      <c r="B248" s="58"/>
      <c r="C248" s="58"/>
      <c r="D248" s="58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</row>
    <row r="249" spans="2:19" x14ac:dyDescent="0.15">
      <c r="B249" s="58"/>
      <c r="C249" s="58"/>
      <c r="D249" s="58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</row>
    <row r="250" spans="2:19" x14ac:dyDescent="0.15">
      <c r="B250" s="58"/>
      <c r="C250" s="58"/>
      <c r="D250" s="58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</row>
    <row r="251" spans="2:19" x14ac:dyDescent="0.15"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</row>
    <row r="252" spans="2:19" x14ac:dyDescent="0.15">
      <c r="B252" s="58"/>
      <c r="C252" s="58"/>
      <c r="D252" s="58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</row>
    <row r="253" spans="2:19" x14ac:dyDescent="0.15">
      <c r="B253" s="58"/>
      <c r="C253" s="58"/>
      <c r="D253" s="58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</row>
    <row r="254" spans="2:19" x14ac:dyDescent="0.15">
      <c r="B254" s="58"/>
      <c r="C254" s="58"/>
      <c r="D254" s="58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</row>
    <row r="255" spans="2:19" x14ac:dyDescent="0.15">
      <c r="B255" s="58"/>
      <c r="C255" s="58"/>
      <c r="D255" s="58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</row>
    <row r="256" spans="2:19" x14ac:dyDescent="0.15">
      <c r="B256" s="58"/>
      <c r="C256" s="58"/>
      <c r="D256" s="58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</row>
    <row r="257" spans="2:19" x14ac:dyDescent="0.15">
      <c r="B257" s="58"/>
      <c r="C257" s="58"/>
      <c r="D257" s="58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58"/>
      <c r="P257" s="58"/>
      <c r="Q257" s="58"/>
      <c r="R257" s="58"/>
      <c r="S257" s="58"/>
    </row>
    <row r="258" spans="2:19" x14ac:dyDescent="0.15">
      <c r="B258" s="58"/>
      <c r="C258" s="58"/>
      <c r="D258" s="58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58"/>
      <c r="Q258" s="58"/>
      <c r="R258" s="58"/>
      <c r="S258" s="58"/>
    </row>
    <row r="259" spans="2:19" x14ac:dyDescent="0.15">
      <c r="B259" s="58"/>
      <c r="C259" s="58"/>
      <c r="D259" s="58"/>
      <c r="E259" s="58"/>
      <c r="F259" s="58"/>
      <c r="G259" s="58"/>
      <c r="H259" s="58"/>
      <c r="I259" s="58"/>
      <c r="J259" s="58"/>
      <c r="K259" s="58"/>
      <c r="L259" s="58"/>
      <c r="M259" s="58"/>
      <c r="N259" s="58"/>
      <c r="O259" s="58"/>
      <c r="P259" s="58"/>
      <c r="Q259" s="58"/>
      <c r="R259" s="58"/>
      <c r="S259" s="58"/>
    </row>
    <row r="260" spans="2:19" x14ac:dyDescent="0.15">
      <c r="B260" s="58"/>
      <c r="C260" s="58"/>
      <c r="D260" s="58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58"/>
      <c r="P260" s="58"/>
      <c r="Q260" s="58"/>
      <c r="R260" s="58"/>
      <c r="S260" s="58"/>
    </row>
    <row r="261" spans="2:19" x14ac:dyDescent="0.15">
      <c r="B261" s="58"/>
      <c r="C261" s="58"/>
      <c r="D261" s="58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58"/>
      <c r="P261" s="58"/>
      <c r="Q261" s="58"/>
      <c r="R261" s="58"/>
      <c r="S261" s="58"/>
    </row>
    <row r="262" spans="2:19" x14ac:dyDescent="0.15">
      <c r="B262" s="58"/>
      <c r="C262" s="58"/>
      <c r="D262" s="58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58"/>
      <c r="Q262" s="58"/>
      <c r="R262" s="58"/>
      <c r="S262" s="58"/>
    </row>
    <row r="263" spans="2:19" x14ac:dyDescent="0.15">
      <c r="B263" s="58"/>
      <c r="C263" s="58"/>
      <c r="D263" s="58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58"/>
      <c r="P263" s="58"/>
      <c r="Q263" s="58"/>
      <c r="R263" s="58"/>
      <c r="S263" s="58"/>
    </row>
    <row r="264" spans="2:19" x14ac:dyDescent="0.15">
      <c r="B264" s="58"/>
      <c r="C264" s="58"/>
      <c r="D264" s="58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58"/>
      <c r="Q264" s="58"/>
      <c r="R264" s="58"/>
      <c r="S264" s="58"/>
    </row>
    <row r="265" spans="2:19" x14ac:dyDescent="0.15">
      <c r="B265" s="58"/>
      <c r="C265" s="58"/>
      <c r="D265" s="58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58"/>
      <c r="P265" s="58"/>
      <c r="Q265" s="58"/>
      <c r="R265" s="58"/>
      <c r="S265" s="58"/>
    </row>
    <row r="266" spans="2:19" x14ac:dyDescent="0.15">
      <c r="B266" s="58"/>
      <c r="C266" s="58"/>
      <c r="D266" s="58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58"/>
      <c r="Q266" s="58"/>
      <c r="R266" s="58"/>
      <c r="S266" s="58"/>
    </row>
    <row r="267" spans="2:19" x14ac:dyDescent="0.15">
      <c r="B267" s="58"/>
      <c r="C267" s="58"/>
      <c r="D267" s="58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58"/>
      <c r="P267" s="58"/>
      <c r="Q267" s="58"/>
      <c r="R267" s="58"/>
      <c r="S267" s="58"/>
    </row>
    <row r="268" spans="2:19" x14ac:dyDescent="0.15">
      <c r="B268" s="58"/>
      <c r="C268" s="58"/>
      <c r="D268" s="58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58"/>
      <c r="Q268" s="58"/>
      <c r="R268" s="58"/>
      <c r="S268" s="58"/>
    </row>
    <row r="269" spans="2:19" x14ac:dyDescent="0.15">
      <c r="B269" s="58"/>
      <c r="C269" s="58"/>
      <c r="D269" s="58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  <c r="S269" s="58"/>
    </row>
    <row r="270" spans="2:19" x14ac:dyDescent="0.15">
      <c r="B270" s="58"/>
      <c r="C270" s="58"/>
      <c r="D270" s="58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58"/>
      <c r="Q270" s="58"/>
      <c r="R270" s="58"/>
      <c r="S270" s="58"/>
    </row>
    <row r="271" spans="2:19" x14ac:dyDescent="0.15">
      <c r="B271" s="58"/>
      <c r="C271" s="58"/>
      <c r="D271" s="58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58"/>
      <c r="P271" s="58"/>
      <c r="Q271" s="58"/>
      <c r="R271" s="58"/>
      <c r="S271" s="58"/>
    </row>
    <row r="272" spans="2:19" x14ac:dyDescent="0.15">
      <c r="B272" s="58"/>
      <c r="C272" s="58"/>
      <c r="D272" s="58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58"/>
      <c r="Q272" s="58"/>
      <c r="R272" s="58"/>
      <c r="S272" s="58"/>
    </row>
    <row r="273" spans="2:19" x14ac:dyDescent="0.15">
      <c r="B273" s="58"/>
      <c r="C273" s="58"/>
      <c r="D273" s="58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</row>
    <row r="274" spans="2:19" x14ac:dyDescent="0.15">
      <c r="B274" s="58"/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58"/>
      <c r="P274" s="58"/>
      <c r="Q274" s="58"/>
      <c r="R274" s="58"/>
      <c r="S274" s="58"/>
    </row>
    <row r="275" spans="2:19" x14ac:dyDescent="0.15">
      <c r="B275" s="58"/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M275" s="58"/>
      <c r="N275" s="58"/>
      <c r="O275" s="58"/>
      <c r="P275" s="58"/>
      <c r="Q275" s="58"/>
      <c r="R275" s="58"/>
      <c r="S275" s="58"/>
    </row>
    <row r="276" spans="2:19" x14ac:dyDescent="0.15">
      <c r="B276" s="58"/>
      <c r="C276" s="58"/>
      <c r="D276" s="58"/>
      <c r="E276" s="58"/>
      <c r="F276" s="58"/>
      <c r="G276" s="58"/>
      <c r="H276" s="58"/>
      <c r="I276" s="58"/>
      <c r="J276" s="58"/>
      <c r="K276" s="58"/>
      <c r="L276" s="58"/>
      <c r="M276" s="58"/>
      <c r="N276" s="58"/>
      <c r="O276" s="58"/>
      <c r="P276" s="58"/>
      <c r="Q276" s="58"/>
      <c r="R276" s="58"/>
      <c r="S276" s="58"/>
    </row>
    <row r="277" spans="2:19" x14ac:dyDescent="0.15">
      <c r="B277" s="58"/>
      <c r="C277" s="58"/>
      <c r="D277" s="58"/>
      <c r="E277" s="58"/>
      <c r="F277" s="58"/>
      <c r="G277" s="58"/>
      <c r="H277" s="58"/>
      <c r="I277" s="58"/>
      <c r="J277" s="58"/>
      <c r="K277" s="58"/>
      <c r="L277" s="58"/>
      <c r="M277" s="58"/>
      <c r="N277" s="58"/>
      <c r="O277" s="58"/>
      <c r="P277" s="58"/>
      <c r="Q277" s="58"/>
      <c r="R277" s="58"/>
      <c r="S277" s="58"/>
    </row>
    <row r="278" spans="2:19" x14ac:dyDescent="0.15">
      <c r="B278" s="58"/>
      <c r="C278" s="58"/>
      <c r="D278" s="58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58"/>
      <c r="P278" s="58"/>
      <c r="Q278" s="58"/>
      <c r="R278" s="58"/>
      <c r="S278" s="58"/>
    </row>
    <row r="279" spans="2:19" x14ac:dyDescent="0.15">
      <c r="B279" s="58"/>
      <c r="C279" s="58"/>
      <c r="D279" s="58"/>
      <c r="E279" s="58"/>
      <c r="F279" s="58"/>
      <c r="G279" s="58"/>
      <c r="H279" s="58"/>
      <c r="I279" s="58"/>
      <c r="J279" s="58"/>
      <c r="K279" s="58"/>
      <c r="L279" s="58"/>
      <c r="M279" s="58"/>
      <c r="N279" s="58"/>
      <c r="O279" s="58"/>
      <c r="P279" s="58"/>
      <c r="Q279" s="58"/>
      <c r="R279" s="58"/>
      <c r="S279" s="58"/>
    </row>
    <row r="280" spans="2:19" x14ac:dyDescent="0.15">
      <c r="B280" s="58"/>
      <c r="C280" s="58"/>
      <c r="D280" s="58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</row>
    <row r="281" spans="2:19" x14ac:dyDescent="0.15">
      <c r="B281" s="58"/>
      <c r="C281" s="58"/>
      <c r="D281" s="58"/>
      <c r="E281" s="58"/>
      <c r="F281" s="58"/>
      <c r="G281" s="58"/>
      <c r="H281" s="58"/>
      <c r="I281" s="58"/>
      <c r="J281" s="58"/>
      <c r="K281" s="58"/>
      <c r="L281" s="58"/>
      <c r="M281" s="58"/>
      <c r="N281" s="58"/>
      <c r="O281" s="58"/>
      <c r="P281" s="58"/>
      <c r="Q281" s="58"/>
      <c r="R281" s="58"/>
      <c r="S281" s="58"/>
    </row>
    <row r="282" spans="2:19" x14ac:dyDescent="0.15">
      <c r="B282" s="58"/>
      <c r="C282" s="58"/>
      <c r="D282" s="58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58"/>
      <c r="P282" s="58"/>
      <c r="Q282" s="58"/>
      <c r="R282" s="58"/>
      <c r="S282" s="58"/>
    </row>
    <row r="283" spans="2:19" x14ac:dyDescent="0.15">
      <c r="B283" s="58"/>
      <c r="C283" s="58"/>
      <c r="D283" s="58"/>
      <c r="E283" s="58"/>
      <c r="F283" s="58"/>
      <c r="G283" s="58"/>
      <c r="H283" s="58"/>
      <c r="I283" s="58"/>
      <c r="J283" s="58"/>
      <c r="K283" s="58"/>
      <c r="L283" s="58"/>
      <c r="M283" s="58"/>
      <c r="N283" s="58"/>
      <c r="O283" s="58"/>
      <c r="P283" s="58"/>
      <c r="Q283" s="58"/>
      <c r="R283" s="58"/>
      <c r="S283" s="58"/>
    </row>
    <row r="284" spans="2:19" x14ac:dyDescent="0.15">
      <c r="B284" s="58"/>
      <c r="C284" s="58"/>
      <c r="D284" s="58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58"/>
      <c r="P284" s="58"/>
      <c r="Q284" s="58"/>
      <c r="R284" s="58"/>
      <c r="S284" s="58"/>
    </row>
    <row r="285" spans="2:19" x14ac:dyDescent="0.15">
      <c r="B285" s="58"/>
      <c r="C285" s="58"/>
      <c r="D285" s="58"/>
      <c r="E285" s="58"/>
      <c r="F285" s="58"/>
      <c r="G285" s="58"/>
      <c r="H285" s="58"/>
      <c r="I285" s="58"/>
      <c r="J285" s="58"/>
      <c r="K285" s="58"/>
      <c r="L285" s="58"/>
      <c r="M285" s="58"/>
      <c r="N285" s="58"/>
      <c r="O285" s="58"/>
      <c r="P285" s="58"/>
      <c r="Q285" s="58"/>
      <c r="R285" s="58"/>
      <c r="S285" s="58"/>
    </row>
    <row r="286" spans="2:19" x14ac:dyDescent="0.15">
      <c r="B286" s="58"/>
      <c r="C286" s="58"/>
      <c r="D286" s="58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</row>
    <row r="287" spans="2:19" x14ac:dyDescent="0.15">
      <c r="B287" s="58"/>
      <c r="C287" s="58"/>
      <c r="D287" s="58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</row>
    <row r="288" spans="2:19" x14ac:dyDescent="0.15">
      <c r="B288" s="58"/>
      <c r="C288" s="58"/>
      <c r="D288" s="58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58"/>
      <c r="Q288" s="58"/>
      <c r="R288" s="58"/>
      <c r="S288" s="58"/>
    </row>
    <row r="289" spans="2:19" x14ac:dyDescent="0.15">
      <c r="B289" s="58"/>
      <c r="C289" s="58"/>
      <c r="D289" s="58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</row>
    <row r="290" spans="2:19" x14ac:dyDescent="0.15">
      <c r="B290" s="58"/>
      <c r="C290" s="58"/>
      <c r="D290" s="58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58"/>
      <c r="Q290" s="58"/>
      <c r="R290" s="58"/>
      <c r="S290" s="58"/>
    </row>
    <row r="291" spans="2:19" x14ac:dyDescent="0.15">
      <c r="B291" s="58"/>
      <c r="C291" s="58"/>
      <c r="D291" s="58"/>
      <c r="E291" s="58"/>
      <c r="F291" s="58"/>
      <c r="G291" s="58"/>
      <c r="H291" s="58"/>
      <c r="I291" s="58"/>
      <c r="J291" s="58"/>
      <c r="K291" s="58"/>
      <c r="L291" s="58"/>
      <c r="M291" s="58"/>
      <c r="N291" s="58"/>
      <c r="O291" s="58"/>
      <c r="P291" s="58"/>
      <c r="Q291" s="58"/>
      <c r="R291" s="58"/>
      <c r="S291" s="58"/>
    </row>
    <row r="292" spans="2:19" x14ac:dyDescent="0.15">
      <c r="B292" s="58"/>
      <c r="C292" s="58"/>
      <c r="D292" s="58"/>
      <c r="E292" s="58"/>
      <c r="F292" s="58"/>
      <c r="G292" s="58"/>
      <c r="H292" s="58"/>
      <c r="I292" s="58"/>
      <c r="J292" s="58"/>
      <c r="K292" s="58"/>
      <c r="L292" s="58"/>
      <c r="M292" s="58"/>
      <c r="N292" s="58"/>
      <c r="O292" s="58"/>
      <c r="P292" s="58"/>
      <c r="Q292" s="58"/>
      <c r="R292" s="58"/>
      <c r="S292" s="58"/>
    </row>
    <row r="293" spans="2:19" x14ac:dyDescent="0.15">
      <c r="B293" s="58"/>
      <c r="C293" s="58"/>
      <c r="D293" s="58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58"/>
      <c r="P293" s="58"/>
      <c r="Q293" s="58"/>
      <c r="R293" s="58"/>
      <c r="S293" s="58"/>
    </row>
    <row r="294" spans="2:19" x14ac:dyDescent="0.15">
      <c r="B294" s="58"/>
      <c r="C294" s="58"/>
      <c r="D294" s="58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</row>
    <row r="295" spans="2:19" x14ac:dyDescent="0.15">
      <c r="B295" s="58"/>
      <c r="C295" s="58"/>
      <c r="D295" s="58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58"/>
      <c r="P295" s="58"/>
      <c r="Q295" s="58"/>
      <c r="R295" s="58"/>
      <c r="S295" s="58"/>
    </row>
    <row r="296" spans="2:19" x14ac:dyDescent="0.15">
      <c r="B296" s="58"/>
      <c r="C296" s="58"/>
      <c r="D296" s="58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58"/>
      <c r="Q296" s="58"/>
      <c r="R296" s="58"/>
      <c r="S296" s="58"/>
    </row>
    <row r="297" spans="2:19" x14ac:dyDescent="0.15">
      <c r="B297" s="58"/>
      <c r="C297" s="58"/>
      <c r="D297" s="58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58"/>
      <c r="P297" s="58"/>
      <c r="Q297" s="58"/>
      <c r="R297" s="58"/>
      <c r="S297" s="58"/>
    </row>
    <row r="298" spans="2:19" x14ac:dyDescent="0.15">
      <c r="B298" s="58"/>
      <c r="C298" s="58"/>
      <c r="D298" s="58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58"/>
      <c r="Q298" s="58"/>
      <c r="R298" s="58"/>
      <c r="S298" s="58"/>
    </row>
    <row r="299" spans="2:19" x14ac:dyDescent="0.15">
      <c r="B299" s="58"/>
      <c r="C299" s="58"/>
      <c r="D299" s="58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58"/>
      <c r="P299" s="58"/>
      <c r="Q299" s="58"/>
      <c r="R299" s="58"/>
      <c r="S299" s="58"/>
    </row>
    <row r="300" spans="2:19" x14ac:dyDescent="0.15">
      <c r="B300" s="58"/>
      <c r="C300" s="58"/>
      <c r="D300" s="58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58"/>
      <c r="Q300" s="58"/>
      <c r="R300" s="58"/>
      <c r="S300" s="58"/>
    </row>
    <row r="301" spans="2:19" x14ac:dyDescent="0.15">
      <c r="B301" s="58"/>
      <c r="C301" s="58"/>
      <c r="D301" s="58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</row>
    <row r="302" spans="2:19" x14ac:dyDescent="0.15">
      <c r="B302" s="58"/>
      <c r="C302" s="58"/>
      <c r="D302" s="58"/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58"/>
      <c r="P302" s="58"/>
      <c r="Q302" s="58"/>
      <c r="R302" s="58"/>
      <c r="S302" s="58"/>
    </row>
    <row r="303" spans="2:19" x14ac:dyDescent="0.15">
      <c r="B303" s="58"/>
      <c r="C303" s="58"/>
      <c r="D303" s="58"/>
      <c r="E303" s="58"/>
      <c r="F303" s="58"/>
      <c r="G303" s="58"/>
      <c r="H303" s="58"/>
      <c r="I303" s="58"/>
      <c r="J303" s="58"/>
      <c r="K303" s="58"/>
      <c r="L303" s="58"/>
      <c r="M303" s="58"/>
      <c r="N303" s="58"/>
      <c r="O303" s="58"/>
      <c r="P303" s="58"/>
      <c r="Q303" s="58"/>
      <c r="R303" s="58"/>
      <c r="S303" s="58"/>
    </row>
    <row r="304" spans="2:19" x14ac:dyDescent="0.15">
      <c r="B304" s="58"/>
      <c r="C304" s="58"/>
      <c r="D304" s="58"/>
      <c r="E304" s="58"/>
      <c r="F304" s="58"/>
      <c r="G304" s="58"/>
      <c r="H304" s="58"/>
      <c r="I304" s="58"/>
      <c r="J304" s="58"/>
      <c r="K304" s="58"/>
      <c r="L304" s="58"/>
      <c r="M304" s="58"/>
      <c r="N304" s="58"/>
      <c r="O304" s="58"/>
      <c r="P304" s="58"/>
      <c r="Q304" s="58"/>
      <c r="R304" s="58"/>
      <c r="S304" s="58"/>
    </row>
    <row r="305" spans="2:19" x14ac:dyDescent="0.15">
      <c r="B305" s="58"/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</row>
    <row r="306" spans="2:19" x14ac:dyDescent="0.15">
      <c r="B306" s="58"/>
      <c r="C306" s="58"/>
      <c r="D306" s="58"/>
      <c r="E306" s="58"/>
      <c r="F306" s="58"/>
      <c r="G306" s="58"/>
      <c r="H306" s="58"/>
      <c r="I306" s="58"/>
      <c r="J306" s="58"/>
      <c r="K306" s="58"/>
      <c r="L306" s="58"/>
      <c r="M306" s="58"/>
      <c r="N306" s="58"/>
      <c r="O306" s="58"/>
      <c r="P306" s="58"/>
      <c r="Q306" s="58"/>
      <c r="R306" s="58"/>
      <c r="S306" s="58"/>
    </row>
    <row r="307" spans="2:19" x14ac:dyDescent="0.15">
      <c r="B307" s="58"/>
      <c r="C307" s="58"/>
      <c r="D307" s="58"/>
      <c r="E307" s="58"/>
      <c r="F307" s="58"/>
      <c r="G307" s="58"/>
      <c r="H307" s="58"/>
      <c r="I307" s="58"/>
      <c r="J307" s="58"/>
      <c r="K307" s="58"/>
      <c r="L307" s="58"/>
      <c r="M307" s="58"/>
      <c r="N307" s="58"/>
      <c r="O307" s="58"/>
      <c r="P307" s="58"/>
      <c r="Q307" s="58"/>
      <c r="R307" s="58"/>
      <c r="S307" s="58"/>
    </row>
    <row r="308" spans="2:19" x14ac:dyDescent="0.15">
      <c r="B308" s="58"/>
      <c r="C308" s="58"/>
      <c r="D308" s="58"/>
      <c r="E308" s="58"/>
      <c r="F308" s="58"/>
      <c r="G308" s="58"/>
      <c r="H308" s="58"/>
      <c r="I308" s="58"/>
      <c r="J308" s="58"/>
      <c r="K308" s="58"/>
      <c r="L308" s="58"/>
      <c r="M308" s="58"/>
      <c r="N308" s="58"/>
      <c r="O308" s="58"/>
      <c r="P308" s="58"/>
      <c r="Q308" s="58"/>
      <c r="R308" s="58"/>
      <c r="S308" s="58"/>
    </row>
    <row r="309" spans="2:19" x14ac:dyDescent="0.15">
      <c r="B309" s="58"/>
      <c r="C309" s="58"/>
      <c r="D309" s="58"/>
      <c r="E309" s="58"/>
      <c r="F309" s="58"/>
      <c r="G309" s="58"/>
      <c r="H309" s="58"/>
      <c r="I309" s="58"/>
      <c r="J309" s="58"/>
      <c r="K309" s="58"/>
      <c r="L309" s="58"/>
      <c r="M309" s="58"/>
      <c r="N309" s="58"/>
      <c r="O309" s="58"/>
      <c r="P309" s="58"/>
      <c r="Q309" s="58"/>
      <c r="R309" s="58"/>
      <c r="S309" s="58"/>
    </row>
    <row r="310" spans="2:19" x14ac:dyDescent="0.15">
      <c r="B310" s="58"/>
      <c r="C310" s="58"/>
      <c r="D310" s="58"/>
      <c r="E310" s="58"/>
      <c r="F310" s="58"/>
      <c r="G310" s="58"/>
      <c r="H310" s="58"/>
      <c r="I310" s="58"/>
      <c r="J310" s="58"/>
      <c r="K310" s="58"/>
      <c r="L310" s="58"/>
      <c r="M310" s="58"/>
      <c r="N310" s="58"/>
      <c r="O310" s="58"/>
      <c r="P310" s="58"/>
      <c r="Q310" s="58"/>
      <c r="R310" s="58"/>
      <c r="S310" s="58"/>
    </row>
    <row r="311" spans="2:19" x14ac:dyDescent="0.15">
      <c r="B311" s="58"/>
      <c r="C311" s="58"/>
      <c r="D311" s="58"/>
      <c r="E311" s="58"/>
      <c r="F311" s="58"/>
      <c r="G311" s="58"/>
      <c r="H311" s="58"/>
      <c r="I311" s="58"/>
      <c r="J311" s="58"/>
      <c r="K311" s="58"/>
      <c r="L311" s="58"/>
      <c r="M311" s="58"/>
      <c r="N311" s="58"/>
      <c r="O311" s="58"/>
      <c r="P311" s="58"/>
      <c r="Q311" s="58"/>
      <c r="R311" s="58"/>
      <c r="S311" s="58"/>
    </row>
    <row r="312" spans="2:19" x14ac:dyDescent="0.15">
      <c r="B312" s="58"/>
      <c r="C312" s="58"/>
      <c r="D312" s="58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58"/>
      <c r="P312" s="58"/>
      <c r="Q312" s="58"/>
      <c r="R312" s="58"/>
      <c r="S312" s="58"/>
    </row>
    <row r="313" spans="2:19" x14ac:dyDescent="0.15">
      <c r="B313" s="58"/>
      <c r="C313" s="58"/>
      <c r="D313" s="58"/>
      <c r="E313" s="58"/>
      <c r="F313" s="58"/>
      <c r="G313" s="58"/>
      <c r="H313" s="58"/>
      <c r="I313" s="58"/>
      <c r="J313" s="58"/>
      <c r="K313" s="58"/>
      <c r="L313" s="58"/>
      <c r="M313" s="58"/>
      <c r="N313" s="58"/>
      <c r="O313" s="58"/>
      <c r="P313" s="58"/>
      <c r="Q313" s="58"/>
      <c r="R313" s="58"/>
      <c r="S313" s="58"/>
    </row>
    <row r="314" spans="2:19" x14ac:dyDescent="0.15">
      <c r="B314" s="58"/>
      <c r="C314" s="58"/>
      <c r="D314" s="58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58"/>
      <c r="P314" s="58"/>
      <c r="Q314" s="58"/>
      <c r="R314" s="58"/>
      <c r="S314" s="58"/>
    </row>
    <row r="315" spans="2:19" x14ac:dyDescent="0.15">
      <c r="B315" s="58"/>
      <c r="C315" s="58"/>
      <c r="D315" s="58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</row>
    <row r="316" spans="2:19" x14ac:dyDescent="0.15">
      <c r="B316" s="58"/>
      <c r="C316" s="58"/>
      <c r="D316" s="58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</row>
    <row r="317" spans="2:19" x14ac:dyDescent="0.15">
      <c r="B317" s="58"/>
      <c r="C317" s="58"/>
      <c r="D317" s="58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</row>
    <row r="318" spans="2:19" x14ac:dyDescent="0.15">
      <c r="B318" s="58"/>
      <c r="C318" s="58"/>
      <c r="D318" s="58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58"/>
      <c r="P318" s="58"/>
      <c r="Q318" s="58"/>
      <c r="R318" s="58"/>
      <c r="S318" s="58"/>
    </row>
    <row r="319" spans="2:19" x14ac:dyDescent="0.15">
      <c r="B319" s="58"/>
      <c r="C319" s="58"/>
      <c r="D319" s="58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</row>
    <row r="320" spans="2:19" x14ac:dyDescent="0.15">
      <c r="B320" s="58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</row>
    <row r="321" spans="2:19" x14ac:dyDescent="0.15">
      <c r="B321" s="58"/>
      <c r="C321" s="58"/>
      <c r="D321" s="58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</row>
    <row r="322" spans="2:19" x14ac:dyDescent="0.15">
      <c r="B322" s="58"/>
      <c r="C322" s="58"/>
      <c r="D322" s="58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</row>
    <row r="323" spans="2:19" x14ac:dyDescent="0.15">
      <c r="B323" s="58"/>
      <c r="C323" s="58"/>
      <c r="D323" s="58"/>
      <c r="E323" s="58"/>
      <c r="F323" s="58"/>
      <c r="G323" s="58"/>
      <c r="H323" s="58"/>
      <c r="I323" s="58"/>
      <c r="J323" s="58"/>
      <c r="K323" s="58"/>
      <c r="L323" s="58"/>
      <c r="M323" s="58"/>
      <c r="N323" s="58"/>
      <c r="O323" s="58"/>
      <c r="P323" s="58"/>
      <c r="Q323" s="58"/>
      <c r="R323" s="58"/>
      <c r="S323" s="58"/>
    </row>
    <row r="324" spans="2:19" x14ac:dyDescent="0.15">
      <c r="B324" s="58"/>
      <c r="C324" s="58"/>
      <c r="D324" s="58"/>
      <c r="E324" s="58"/>
      <c r="F324" s="58"/>
      <c r="G324" s="58"/>
      <c r="H324" s="58"/>
      <c r="I324" s="58"/>
      <c r="J324" s="58"/>
      <c r="K324" s="58"/>
      <c r="L324" s="58"/>
      <c r="M324" s="58"/>
      <c r="N324" s="58"/>
      <c r="O324" s="58"/>
      <c r="P324" s="58"/>
      <c r="Q324" s="58"/>
      <c r="R324" s="58"/>
      <c r="S324" s="58"/>
    </row>
    <row r="325" spans="2:19" x14ac:dyDescent="0.15">
      <c r="B325" s="58"/>
      <c r="C325" s="58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</row>
    <row r="326" spans="2:19" x14ac:dyDescent="0.15">
      <c r="B326" s="58"/>
      <c r="C326" s="58"/>
      <c r="D326" s="58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</row>
    <row r="327" spans="2:19" x14ac:dyDescent="0.15">
      <c r="B327" s="58"/>
      <c r="C327" s="58"/>
      <c r="D327" s="58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</row>
    <row r="328" spans="2:19" x14ac:dyDescent="0.15">
      <c r="B328" s="58"/>
      <c r="C328" s="58"/>
      <c r="D328" s="58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</row>
    <row r="329" spans="2:19" x14ac:dyDescent="0.15">
      <c r="B329" s="58"/>
      <c r="C329" s="58"/>
      <c r="D329" s="58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</row>
    <row r="330" spans="2:19" x14ac:dyDescent="0.15">
      <c r="B330" s="58"/>
      <c r="C330" s="58"/>
      <c r="D330" s="58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</row>
    <row r="331" spans="2:19" x14ac:dyDescent="0.15">
      <c r="B331" s="58"/>
      <c r="C331" s="58"/>
      <c r="D331" s="58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</row>
    <row r="332" spans="2:19" x14ac:dyDescent="0.15">
      <c r="B332" s="58"/>
      <c r="C332" s="58"/>
      <c r="D332" s="58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</row>
    <row r="333" spans="2:19" x14ac:dyDescent="0.15">
      <c r="B333" s="58"/>
      <c r="C333" s="58"/>
      <c r="D333" s="58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</row>
    <row r="334" spans="2:19" x14ac:dyDescent="0.15">
      <c r="B334" s="58"/>
      <c r="C334" s="58"/>
      <c r="D334" s="58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</row>
    <row r="335" spans="2:19" x14ac:dyDescent="0.15">
      <c r="B335" s="58"/>
      <c r="C335" s="58"/>
      <c r="D335" s="58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</row>
    <row r="336" spans="2:19" x14ac:dyDescent="0.15">
      <c r="B336" s="58"/>
      <c r="C336" s="58"/>
      <c r="D336" s="58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</row>
    <row r="337" spans="2:19" x14ac:dyDescent="0.15">
      <c r="B337" s="58"/>
      <c r="C337" s="58"/>
      <c r="D337" s="58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</row>
    <row r="338" spans="2:19" x14ac:dyDescent="0.15">
      <c r="B338" s="58"/>
      <c r="C338" s="58"/>
      <c r="D338" s="58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</row>
    <row r="339" spans="2:19" x14ac:dyDescent="0.15">
      <c r="B339" s="58"/>
      <c r="C339" s="58"/>
      <c r="D339" s="58"/>
      <c r="E339" s="58"/>
      <c r="F339" s="58"/>
      <c r="G339" s="58"/>
      <c r="H339" s="58"/>
      <c r="I339" s="58"/>
      <c r="J339" s="58"/>
      <c r="K339" s="58"/>
      <c r="L339" s="58"/>
      <c r="M339" s="58"/>
      <c r="N339" s="58"/>
      <c r="O339" s="58"/>
      <c r="P339" s="58"/>
      <c r="Q339" s="58"/>
      <c r="R339" s="58"/>
      <c r="S339" s="58"/>
    </row>
    <row r="340" spans="2:19" x14ac:dyDescent="0.15">
      <c r="B340" s="58"/>
      <c r="C340" s="58"/>
      <c r="D340" s="58"/>
      <c r="E340" s="58"/>
      <c r="F340" s="58"/>
      <c r="G340" s="58"/>
      <c r="H340" s="58"/>
      <c r="I340" s="58"/>
      <c r="J340" s="58"/>
      <c r="K340" s="58"/>
      <c r="L340" s="58"/>
      <c r="M340" s="58"/>
      <c r="N340" s="58"/>
      <c r="O340" s="58"/>
      <c r="P340" s="58"/>
      <c r="Q340" s="58"/>
      <c r="R340" s="58"/>
      <c r="S340" s="58"/>
    </row>
    <row r="341" spans="2:19" x14ac:dyDescent="0.15">
      <c r="B341" s="58"/>
      <c r="C341" s="58"/>
      <c r="D341" s="58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</row>
    <row r="342" spans="2:19" x14ac:dyDescent="0.15">
      <c r="B342" s="58"/>
      <c r="C342" s="58"/>
      <c r="D342" s="58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</row>
    <row r="343" spans="2:19" x14ac:dyDescent="0.15">
      <c r="B343" s="58"/>
      <c r="C343" s="58"/>
      <c r="D343" s="58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</row>
    <row r="344" spans="2:19" x14ac:dyDescent="0.15">
      <c r="B344" s="58"/>
      <c r="C344" s="58"/>
      <c r="D344" s="58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</row>
    <row r="345" spans="2:19" x14ac:dyDescent="0.15">
      <c r="B345" s="58"/>
      <c r="C345" s="58"/>
      <c r="D345" s="58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</row>
    <row r="346" spans="2:19" x14ac:dyDescent="0.15">
      <c r="B346" s="58"/>
      <c r="C346" s="58"/>
      <c r="D346" s="58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</row>
    <row r="347" spans="2:19" x14ac:dyDescent="0.15">
      <c r="B347" s="58"/>
      <c r="C347" s="58"/>
      <c r="D347" s="58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</row>
    <row r="348" spans="2:19" x14ac:dyDescent="0.15">
      <c r="B348" s="58"/>
      <c r="C348" s="58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</row>
    <row r="349" spans="2:19" x14ac:dyDescent="0.15">
      <c r="B349" s="58"/>
      <c r="C349" s="58"/>
      <c r="D349" s="58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</row>
    <row r="350" spans="2:19" x14ac:dyDescent="0.15">
      <c r="B350" s="58"/>
      <c r="C350" s="58"/>
      <c r="D350" s="58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</row>
    <row r="351" spans="2:19" x14ac:dyDescent="0.15">
      <c r="B351" s="58"/>
      <c r="C351" s="58"/>
      <c r="D351" s="58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</row>
    <row r="352" spans="2:19" x14ac:dyDescent="0.15">
      <c r="B352" s="58"/>
      <c r="C352" s="58"/>
      <c r="D352" s="58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</row>
    <row r="353" spans="2:19" x14ac:dyDescent="0.15">
      <c r="B353" s="58"/>
      <c r="C353" s="58"/>
      <c r="D353" s="58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</row>
    <row r="354" spans="2:19" x14ac:dyDescent="0.15">
      <c r="B354" s="58"/>
      <c r="C354" s="58"/>
      <c r="D354" s="58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</row>
    <row r="355" spans="2:19" x14ac:dyDescent="0.15">
      <c r="B355" s="58"/>
      <c r="C355" s="58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  <c r="S355" s="58"/>
    </row>
    <row r="356" spans="2:19" x14ac:dyDescent="0.15">
      <c r="B356" s="58"/>
      <c r="C356" s="58"/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  <c r="S356" s="58"/>
    </row>
    <row r="357" spans="2:19" x14ac:dyDescent="0.15">
      <c r="B357" s="58"/>
      <c r="C357" s="58"/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  <c r="S357" s="58"/>
    </row>
    <row r="358" spans="2:19" x14ac:dyDescent="0.15">
      <c r="B358" s="58"/>
      <c r="C358" s="58"/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</row>
    <row r="359" spans="2:19" x14ac:dyDescent="0.15">
      <c r="B359" s="58"/>
      <c r="C359" s="58"/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</row>
    <row r="360" spans="2:19" x14ac:dyDescent="0.15">
      <c r="B360" s="58"/>
      <c r="C360" s="58"/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</row>
    <row r="361" spans="2:19" x14ac:dyDescent="0.15">
      <c r="B361" s="58"/>
      <c r="C361" s="58"/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</row>
    <row r="362" spans="2:19" x14ac:dyDescent="0.15">
      <c r="B362" s="58"/>
      <c r="C362" s="58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</row>
    <row r="363" spans="2:19" x14ac:dyDescent="0.15">
      <c r="B363" s="58"/>
      <c r="C363" s="58"/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</row>
    <row r="364" spans="2:19" x14ac:dyDescent="0.15">
      <c r="B364" s="58"/>
      <c r="C364" s="58"/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</row>
    <row r="365" spans="2:19" x14ac:dyDescent="0.15">
      <c r="B365" s="58"/>
      <c r="C365" s="58"/>
      <c r="D365" s="58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58"/>
      <c r="P365" s="58"/>
      <c r="Q365" s="58"/>
      <c r="R365" s="58"/>
      <c r="S365" s="58"/>
    </row>
    <row r="366" spans="2:19" x14ac:dyDescent="0.15">
      <c r="B366" s="58"/>
      <c r="C366" s="58"/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/>
      <c r="Q366" s="58"/>
      <c r="R366" s="58"/>
      <c r="S366" s="58"/>
    </row>
    <row r="367" spans="2:19" x14ac:dyDescent="0.15">
      <c r="B367" s="58"/>
      <c r="C367" s="58"/>
      <c r="D367" s="58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</row>
    <row r="368" spans="2:19" x14ac:dyDescent="0.15">
      <c r="B368" s="58"/>
      <c r="C368" s="58"/>
      <c r="D368" s="58"/>
      <c r="E368" s="58"/>
      <c r="F368" s="58"/>
      <c r="G368" s="58"/>
      <c r="H368" s="58"/>
      <c r="I368" s="58"/>
      <c r="J368" s="58"/>
      <c r="K368" s="58"/>
      <c r="L368" s="58"/>
      <c r="M368" s="58"/>
      <c r="N368" s="58"/>
      <c r="O368" s="58"/>
      <c r="P368" s="58"/>
      <c r="Q368" s="58"/>
      <c r="R368" s="58"/>
      <c r="S368" s="58"/>
    </row>
    <row r="369" spans="2:19" x14ac:dyDescent="0.15">
      <c r="B369" s="58"/>
      <c r="C369" s="58"/>
      <c r="D369" s="58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</row>
    <row r="370" spans="2:19" x14ac:dyDescent="0.15">
      <c r="B370" s="58"/>
      <c r="C370" s="58"/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</row>
    <row r="371" spans="2:19" x14ac:dyDescent="0.15">
      <c r="B371" s="58"/>
      <c r="C371" s="58"/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</row>
    <row r="372" spans="2:19" x14ac:dyDescent="0.15">
      <c r="B372" s="58"/>
      <c r="C372" s="58"/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</row>
    <row r="373" spans="2:19" x14ac:dyDescent="0.15">
      <c r="B373" s="58"/>
      <c r="C373" s="58"/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</row>
    <row r="374" spans="2:19" x14ac:dyDescent="0.15">
      <c r="B374" s="58"/>
      <c r="C374" s="58"/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</row>
    <row r="375" spans="2:19" x14ac:dyDescent="0.15">
      <c r="B375" s="58"/>
      <c r="C375" s="58"/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</row>
    <row r="376" spans="2:19" x14ac:dyDescent="0.15">
      <c r="B376" s="58"/>
      <c r="C376" s="58"/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</row>
    <row r="377" spans="2:19" x14ac:dyDescent="0.15">
      <c r="B377" s="58"/>
      <c r="C377" s="58"/>
      <c r="D377" s="58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58"/>
      <c r="P377" s="58"/>
      <c r="Q377" s="58"/>
      <c r="R377" s="58"/>
      <c r="S377" s="58"/>
    </row>
    <row r="378" spans="2:19" x14ac:dyDescent="0.15">
      <c r="B378" s="58"/>
      <c r="C378" s="58"/>
      <c r="D378" s="58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58"/>
      <c r="P378" s="58"/>
      <c r="Q378" s="58"/>
      <c r="R378" s="58"/>
      <c r="S378" s="58"/>
    </row>
    <row r="379" spans="2:19" x14ac:dyDescent="0.15">
      <c r="B379" s="58"/>
      <c r="C379" s="58"/>
      <c r="D379" s="58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58"/>
      <c r="P379" s="58"/>
      <c r="Q379" s="58"/>
      <c r="R379" s="58"/>
      <c r="S379" s="58"/>
    </row>
    <row r="380" spans="2:19" x14ac:dyDescent="0.15">
      <c r="B380" s="58"/>
      <c r="C380" s="58"/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</row>
    <row r="381" spans="2:19" x14ac:dyDescent="0.15">
      <c r="B381" s="58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</row>
    <row r="382" spans="2:19" x14ac:dyDescent="0.15">
      <c r="B382" s="58"/>
      <c r="C382" s="58"/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</row>
    <row r="383" spans="2:19" x14ac:dyDescent="0.15">
      <c r="B383" s="58"/>
      <c r="C383" s="58"/>
      <c r="D383" s="58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58"/>
      <c r="P383" s="58"/>
      <c r="Q383" s="58"/>
      <c r="R383" s="58"/>
      <c r="S383" s="58"/>
    </row>
    <row r="384" spans="2:19" x14ac:dyDescent="0.15">
      <c r="B384" s="58"/>
      <c r="C384" s="58"/>
      <c r="D384" s="58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</row>
    <row r="385" spans="2:19" x14ac:dyDescent="0.15">
      <c r="B385" s="58"/>
      <c r="C385" s="58"/>
      <c r="D385" s="58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58"/>
      <c r="P385" s="58"/>
      <c r="Q385" s="58"/>
      <c r="R385" s="58"/>
      <c r="S385" s="58"/>
    </row>
    <row r="386" spans="2:19" x14ac:dyDescent="0.15">
      <c r="B386" s="58"/>
      <c r="C386" s="58"/>
      <c r="D386" s="58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58"/>
      <c r="P386" s="58"/>
      <c r="Q386" s="58"/>
      <c r="R386" s="58"/>
      <c r="S386" s="58"/>
    </row>
    <row r="387" spans="2:19" x14ac:dyDescent="0.15">
      <c r="B387" s="58"/>
      <c r="C387" s="58"/>
      <c r="D387" s="58"/>
      <c r="E387" s="58"/>
      <c r="F387" s="58"/>
      <c r="G387" s="58"/>
      <c r="H387" s="58"/>
      <c r="I387" s="58"/>
      <c r="J387" s="58"/>
      <c r="K387" s="58"/>
      <c r="L387" s="58"/>
      <c r="M387" s="58"/>
      <c r="N387" s="58"/>
      <c r="O387" s="58"/>
      <c r="P387" s="58"/>
      <c r="Q387" s="58"/>
      <c r="R387" s="58"/>
      <c r="S387" s="58"/>
    </row>
    <row r="388" spans="2:19" x14ac:dyDescent="0.15">
      <c r="B388" s="58"/>
      <c r="C388" s="58"/>
      <c r="D388" s="58"/>
      <c r="E388" s="58"/>
      <c r="F388" s="58"/>
      <c r="G388" s="58"/>
      <c r="H388" s="58"/>
      <c r="I388" s="58"/>
      <c r="J388" s="58"/>
      <c r="K388" s="58"/>
      <c r="L388" s="58"/>
      <c r="M388" s="58"/>
      <c r="N388" s="58"/>
      <c r="O388" s="58"/>
      <c r="P388" s="58"/>
      <c r="Q388" s="58"/>
      <c r="R388" s="58"/>
      <c r="S388" s="58"/>
    </row>
    <row r="389" spans="2:19" x14ac:dyDescent="0.15">
      <c r="B389" s="58"/>
      <c r="C389" s="58"/>
      <c r="D389" s="58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58"/>
      <c r="P389" s="58"/>
      <c r="Q389" s="58"/>
      <c r="R389" s="58"/>
      <c r="S389" s="58"/>
    </row>
    <row r="390" spans="2:19" x14ac:dyDescent="0.15">
      <c r="B390" s="58"/>
      <c r="C390" s="58"/>
      <c r="D390" s="58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58"/>
      <c r="P390" s="58"/>
      <c r="Q390" s="58"/>
      <c r="R390" s="58"/>
      <c r="S390" s="58"/>
    </row>
    <row r="391" spans="2:19" x14ac:dyDescent="0.15">
      <c r="B391" s="58"/>
      <c r="C391" s="58"/>
      <c r="D391" s="58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</row>
    <row r="392" spans="2:19" x14ac:dyDescent="0.15">
      <c r="B392" s="58"/>
      <c r="C392" s="58"/>
      <c r="D392" s="58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58"/>
      <c r="P392" s="58"/>
      <c r="Q392" s="58"/>
      <c r="R392" s="58"/>
      <c r="S392" s="58"/>
    </row>
    <row r="393" spans="2:19" x14ac:dyDescent="0.15">
      <c r="B393" s="58"/>
      <c r="C393" s="58"/>
      <c r="D393" s="58"/>
      <c r="E393" s="58"/>
      <c r="F393" s="58"/>
      <c r="G393" s="58"/>
      <c r="H393" s="58"/>
      <c r="I393" s="58"/>
      <c r="J393" s="58"/>
      <c r="K393" s="58"/>
      <c r="L393" s="58"/>
      <c r="M393" s="58"/>
      <c r="N393" s="58"/>
      <c r="O393" s="58"/>
      <c r="P393" s="58"/>
      <c r="Q393" s="58"/>
      <c r="R393" s="58"/>
      <c r="S393" s="58"/>
    </row>
    <row r="394" spans="2:19" x14ac:dyDescent="0.15">
      <c r="B394" s="58"/>
      <c r="C394" s="58"/>
      <c r="D394" s="58"/>
      <c r="E394" s="58"/>
      <c r="F394" s="58"/>
      <c r="G394" s="58"/>
      <c r="H394" s="58"/>
      <c r="I394" s="58"/>
      <c r="J394" s="58"/>
      <c r="K394" s="58"/>
      <c r="L394" s="58"/>
      <c r="M394" s="58"/>
      <c r="N394" s="58"/>
      <c r="O394" s="58"/>
      <c r="P394" s="58"/>
      <c r="Q394" s="58"/>
      <c r="R394" s="58"/>
      <c r="S394" s="58"/>
    </row>
    <row r="395" spans="2:19" x14ac:dyDescent="0.15">
      <c r="B395" s="58"/>
      <c r="C395" s="58"/>
      <c r="D395" s="58"/>
      <c r="E395" s="58"/>
      <c r="F395" s="58"/>
      <c r="G395" s="58"/>
      <c r="H395" s="58"/>
      <c r="I395" s="58"/>
      <c r="J395" s="58"/>
      <c r="K395" s="58"/>
      <c r="L395" s="58"/>
      <c r="M395" s="58"/>
      <c r="N395" s="58"/>
      <c r="O395" s="58"/>
      <c r="P395" s="58"/>
      <c r="Q395" s="58"/>
      <c r="R395" s="58"/>
      <c r="S395" s="58"/>
    </row>
    <row r="396" spans="2:19" x14ac:dyDescent="0.15">
      <c r="B396" s="58"/>
      <c r="C396" s="58"/>
      <c r="D396" s="58"/>
      <c r="E396" s="58"/>
      <c r="F396" s="58"/>
      <c r="G396" s="58"/>
      <c r="H396" s="58"/>
      <c r="I396" s="58"/>
      <c r="J396" s="58"/>
      <c r="K396" s="58"/>
      <c r="L396" s="58"/>
      <c r="M396" s="58"/>
      <c r="N396" s="58"/>
      <c r="O396" s="58"/>
      <c r="P396" s="58"/>
      <c r="Q396" s="58"/>
      <c r="R396" s="58"/>
      <c r="S396" s="58"/>
    </row>
    <row r="397" spans="2:19" x14ac:dyDescent="0.15">
      <c r="B397" s="58"/>
      <c r="C397" s="58"/>
      <c r="D397" s="58"/>
      <c r="E397" s="58"/>
      <c r="F397" s="58"/>
      <c r="G397" s="58"/>
      <c r="H397" s="58"/>
      <c r="I397" s="58"/>
      <c r="J397" s="58"/>
      <c r="K397" s="58"/>
      <c r="L397" s="58"/>
      <c r="M397" s="58"/>
      <c r="N397" s="58"/>
      <c r="O397" s="58"/>
      <c r="P397" s="58"/>
      <c r="Q397" s="58"/>
      <c r="R397" s="58"/>
      <c r="S397" s="58"/>
    </row>
    <row r="398" spans="2:19" x14ac:dyDescent="0.15">
      <c r="B398" s="58"/>
      <c r="C398" s="58"/>
      <c r="D398" s="58"/>
      <c r="E398" s="58"/>
      <c r="F398" s="58"/>
      <c r="G398" s="58"/>
      <c r="H398" s="58"/>
      <c r="I398" s="58"/>
      <c r="J398" s="58"/>
      <c r="K398" s="58"/>
      <c r="L398" s="58"/>
      <c r="M398" s="58"/>
      <c r="N398" s="58"/>
      <c r="O398" s="58"/>
      <c r="P398" s="58"/>
      <c r="Q398" s="58"/>
      <c r="R398" s="58"/>
      <c r="S398" s="58"/>
    </row>
    <row r="399" spans="2:19" x14ac:dyDescent="0.15"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</row>
    <row r="400" spans="2:19" x14ac:dyDescent="0.15">
      <c r="B400" s="58"/>
      <c r="C400" s="58"/>
      <c r="D400" s="58"/>
      <c r="E400" s="58"/>
      <c r="F400" s="58"/>
      <c r="G400" s="58"/>
      <c r="H400" s="58"/>
      <c r="I400" s="58"/>
      <c r="J400" s="58"/>
      <c r="K400" s="58"/>
      <c r="L400" s="58"/>
      <c r="M400" s="58"/>
      <c r="N400" s="58"/>
      <c r="O400" s="58"/>
      <c r="P400" s="58"/>
      <c r="Q400" s="58"/>
      <c r="R400" s="58"/>
      <c r="S400" s="58"/>
    </row>
    <row r="401" spans="2:19" x14ac:dyDescent="0.15">
      <c r="B401" s="58"/>
      <c r="C401" s="58"/>
      <c r="D401" s="58"/>
      <c r="E401" s="58"/>
      <c r="F401" s="58"/>
      <c r="G401" s="58"/>
      <c r="H401" s="58"/>
      <c r="I401" s="58"/>
      <c r="J401" s="58"/>
      <c r="K401" s="58"/>
      <c r="L401" s="58"/>
      <c r="M401" s="58"/>
      <c r="N401" s="58"/>
      <c r="O401" s="58"/>
      <c r="P401" s="58"/>
      <c r="Q401" s="58"/>
      <c r="R401" s="58"/>
      <c r="S401" s="58"/>
    </row>
    <row r="402" spans="2:19" x14ac:dyDescent="0.15">
      <c r="B402" s="58"/>
      <c r="C402" s="58"/>
      <c r="D402" s="58"/>
      <c r="E402" s="58"/>
      <c r="F402" s="58"/>
      <c r="G402" s="58"/>
      <c r="H402" s="58"/>
      <c r="I402" s="58"/>
      <c r="J402" s="58"/>
      <c r="K402" s="58"/>
      <c r="L402" s="58"/>
      <c r="M402" s="58"/>
      <c r="N402" s="58"/>
      <c r="O402" s="58"/>
      <c r="P402" s="58"/>
      <c r="Q402" s="58"/>
      <c r="R402" s="58"/>
      <c r="S402" s="58"/>
    </row>
    <row r="403" spans="2:19" x14ac:dyDescent="0.15">
      <c r="B403" s="58"/>
      <c r="C403" s="58"/>
      <c r="D403" s="58"/>
      <c r="E403" s="58"/>
      <c r="F403" s="58"/>
      <c r="G403" s="58"/>
      <c r="H403" s="58"/>
      <c r="I403" s="58"/>
      <c r="J403" s="58"/>
      <c r="K403" s="58"/>
      <c r="L403" s="58"/>
      <c r="M403" s="58"/>
      <c r="N403" s="58"/>
      <c r="O403" s="58"/>
      <c r="P403" s="58"/>
      <c r="Q403" s="58"/>
      <c r="R403" s="58"/>
      <c r="S403" s="58"/>
    </row>
    <row r="404" spans="2:19" x14ac:dyDescent="0.15">
      <c r="B404" s="58"/>
      <c r="C404" s="58"/>
      <c r="D404" s="58"/>
      <c r="E404" s="58"/>
      <c r="F404" s="58"/>
      <c r="G404" s="58"/>
      <c r="H404" s="58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</row>
    <row r="405" spans="2:19" x14ac:dyDescent="0.15">
      <c r="B405" s="58"/>
      <c r="C405" s="58"/>
      <c r="D405" s="58"/>
      <c r="E405" s="58"/>
      <c r="F405" s="58"/>
      <c r="G405" s="58"/>
      <c r="H405" s="58"/>
      <c r="I405" s="58"/>
      <c r="J405" s="58"/>
      <c r="K405" s="58"/>
      <c r="L405" s="58"/>
      <c r="M405" s="58"/>
      <c r="N405" s="58"/>
      <c r="O405" s="58"/>
      <c r="P405" s="58"/>
      <c r="Q405" s="58"/>
      <c r="R405" s="58"/>
      <c r="S405" s="58"/>
    </row>
    <row r="406" spans="2:19" x14ac:dyDescent="0.15">
      <c r="B406" s="58"/>
      <c r="C406" s="58"/>
      <c r="D406" s="58"/>
      <c r="E406" s="58"/>
      <c r="F406" s="58"/>
      <c r="G406" s="58"/>
      <c r="H406" s="58"/>
      <c r="I406" s="58"/>
      <c r="J406" s="58"/>
      <c r="K406" s="58"/>
      <c r="L406" s="58"/>
      <c r="M406" s="58"/>
      <c r="N406" s="58"/>
      <c r="O406" s="58"/>
      <c r="P406" s="58"/>
      <c r="Q406" s="58"/>
      <c r="R406" s="58"/>
      <c r="S406" s="58"/>
    </row>
    <row r="407" spans="2:19" x14ac:dyDescent="0.15">
      <c r="B407" s="58"/>
      <c r="C407" s="58"/>
      <c r="D407" s="58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</row>
    <row r="408" spans="2:19" x14ac:dyDescent="0.15">
      <c r="B408" s="58"/>
      <c r="C408" s="58"/>
      <c r="D408" s="58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58"/>
      <c r="P408" s="58"/>
      <c r="Q408" s="58"/>
      <c r="R408" s="58"/>
      <c r="S408" s="58"/>
    </row>
    <row r="409" spans="2:19" x14ac:dyDescent="0.15">
      <c r="B409" s="58"/>
      <c r="C409" s="58"/>
      <c r="D409" s="58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58"/>
      <c r="P409" s="58"/>
      <c r="Q409" s="58"/>
      <c r="R409" s="58"/>
      <c r="S409" s="58"/>
    </row>
    <row r="410" spans="2:19" x14ac:dyDescent="0.15">
      <c r="B410" s="58"/>
      <c r="C410" s="58"/>
      <c r="D410" s="58"/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58"/>
      <c r="P410" s="58"/>
      <c r="Q410" s="58"/>
      <c r="R410" s="58"/>
      <c r="S410" s="58"/>
    </row>
    <row r="411" spans="2:19" x14ac:dyDescent="0.15">
      <c r="B411" s="58"/>
      <c r="C411" s="58"/>
      <c r="D411" s="58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58"/>
      <c r="P411" s="58"/>
      <c r="Q411" s="58"/>
      <c r="R411" s="58"/>
      <c r="S411" s="58"/>
    </row>
    <row r="412" spans="2:19" x14ac:dyDescent="0.15">
      <c r="B412" s="58"/>
      <c r="C412" s="58"/>
      <c r="D412" s="58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58"/>
      <c r="P412" s="58"/>
      <c r="Q412" s="58"/>
      <c r="R412" s="58"/>
      <c r="S412" s="58"/>
    </row>
    <row r="413" spans="2:19" x14ac:dyDescent="0.15">
      <c r="B413" s="58"/>
      <c r="C413" s="58"/>
      <c r="D413" s="58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58"/>
      <c r="P413" s="58"/>
      <c r="Q413" s="58"/>
      <c r="R413" s="58"/>
      <c r="S413" s="58"/>
    </row>
    <row r="414" spans="2:19" x14ac:dyDescent="0.15">
      <c r="B414" s="58"/>
      <c r="C414" s="58"/>
      <c r="D414" s="58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</row>
    <row r="415" spans="2:19" x14ac:dyDescent="0.15">
      <c r="B415" s="58"/>
      <c r="C415" s="58"/>
      <c r="D415" s="58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58"/>
      <c r="P415" s="58"/>
      <c r="Q415" s="58"/>
      <c r="R415" s="58"/>
      <c r="S415" s="58"/>
    </row>
    <row r="416" spans="2:19" x14ac:dyDescent="0.15">
      <c r="B416" s="58"/>
      <c r="C416" s="58"/>
      <c r="D416" s="58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58"/>
      <c r="P416" s="58"/>
      <c r="Q416" s="58"/>
      <c r="R416" s="58"/>
      <c r="S416" s="58"/>
    </row>
    <row r="417" spans="2:19" x14ac:dyDescent="0.15">
      <c r="B417" s="58"/>
      <c r="C417" s="58"/>
      <c r="D417" s="58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58"/>
      <c r="P417" s="58"/>
      <c r="Q417" s="58"/>
      <c r="R417" s="58"/>
      <c r="S417" s="58"/>
    </row>
    <row r="418" spans="2:19" x14ac:dyDescent="0.15">
      <c r="B418" s="58"/>
      <c r="C418" s="58"/>
      <c r="D418" s="58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58"/>
      <c r="P418" s="58"/>
      <c r="Q418" s="58"/>
      <c r="R418" s="58"/>
      <c r="S418" s="58"/>
    </row>
    <row r="419" spans="2:19" x14ac:dyDescent="0.15">
      <c r="B419" s="58"/>
      <c r="C419" s="58"/>
      <c r="D419" s="58"/>
      <c r="E419" s="58"/>
      <c r="F419" s="58"/>
      <c r="G419" s="58"/>
      <c r="H419" s="58"/>
      <c r="I419" s="58"/>
      <c r="J419" s="58"/>
      <c r="K419" s="58"/>
      <c r="L419" s="58"/>
      <c r="M419" s="58"/>
      <c r="N419" s="58"/>
      <c r="O419" s="58"/>
      <c r="P419" s="58"/>
      <c r="Q419" s="58"/>
      <c r="R419" s="58"/>
      <c r="S419" s="58"/>
    </row>
    <row r="420" spans="2:19" x14ac:dyDescent="0.15">
      <c r="B420" s="58"/>
      <c r="C420" s="58"/>
      <c r="D420" s="58"/>
      <c r="E420" s="58"/>
      <c r="F420" s="58"/>
      <c r="G420" s="58"/>
      <c r="H420" s="58"/>
      <c r="I420" s="58"/>
      <c r="J420" s="58"/>
      <c r="K420" s="58"/>
      <c r="L420" s="58"/>
      <c r="M420" s="58"/>
      <c r="N420" s="58"/>
      <c r="O420" s="58"/>
      <c r="P420" s="58"/>
      <c r="Q420" s="58"/>
      <c r="R420" s="58"/>
      <c r="S420" s="58"/>
    </row>
    <row r="421" spans="2:19" x14ac:dyDescent="0.15">
      <c r="B421" s="58"/>
      <c r="C421" s="58"/>
      <c r="D421" s="58"/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58"/>
      <c r="P421" s="58"/>
      <c r="Q421" s="58"/>
      <c r="R421" s="58"/>
      <c r="S421" s="58"/>
    </row>
    <row r="422" spans="2:19" x14ac:dyDescent="0.15">
      <c r="B422" s="58"/>
      <c r="C422" s="58"/>
      <c r="D422" s="58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</row>
    <row r="423" spans="2:19" x14ac:dyDescent="0.15">
      <c r="B423" s="58"/>
      <c r="C423" s="58"/>
      <c r="D423" s="58"/>
      <c r="E423" s="58"/>
      <c r="F423" s="58"/>
      <c r="G423" s="58"/>
      <c r="H423" s="58"/>
      <c r="I423" s="58"/>
      <c r="J423" s="58"/>
      <c r="K423" s="58"/>
      <c r="L423" s="58"/>
      <c r="M423" s="58"/>
      <c r="N423" s="58"/>
      <c r="O423" s="58"/>
      <c r="P423" s="58"/>
      <c r="Q423" s="58"/>
      <c r="R423" s="58"/>
      <c r="S423" s="58"/>
    </row>
    <row r="424" spans="2:19" x14ac:dyDescent="0.15">
      <c r="B424" s="58"/>
      <c r="C424" s="58"/>
      <c r="D424" s="58"/>
      <c r="E424" s="58"/>
      <c r="F424" s="58"/>
      <c r="G424" s="58"/>
      <c r="H424" s="58"/>
      <c r="I424" s="58"/>
      <c r="J424" s="58"/>
      <c r="K424" s="58"/>
      <c r="L424" s="58"/>
      <c r="M424" s="58"/>
      <c r="N424" s="58"/>
      <c r="O424" s="58"/>
      <c r="P424" s="58"/>
      <c r="Q424" s="58"/>
      <c r="R424" s="58"/>
      <c r="S424" s="58"/>
    </row>
    <row r="425" spans="2:19" x14ac:dyDescent="0.15">
      <c r="B425" s="58"/>
      <c r="C425" s="58"/>
      <c r="D425" s="58"/>
      <c r="E425" s="58"/>
      <c r="F425" s="58"/>
      <c r="G425" s="58"/>
      <c r="H425" s="58"/>
      <c r="I425" s="58"/>
      <c r="J425" s="58"/>
      <c r="K425" s="58"/>
      <c r="L425" s="58"/>
      <c r="M425" s="58"/>
      <c r="N425" s="58"/>
      <c r="O425" s="58"/>
      <c r="P425" s="58"/>
      <c r="Q425" s="58"/>
      <c r="R425" s="58"/>
      <c r="S425" s="58"/>
    </row>
    <row r="426" spans="2:19" x14ac:dyDescent="0.15">
      <c r="B426" s="58"/>
      <c r="C426" s="58"/>
      <c r="D426" s="58"/>
      <c r="E426" s="58"/>
      <c r="F426" s="58"/>
      <c r="G426" s="58"/>
      <c r="H426" s="58"/>
      <c r="I426" s="58"/>
      <c r="J426" s="58"/>
      <c r="K426" s="58"/>
      <c r="L426" s="58"/>
      <c r="M426" s="58"/>
      <c r="N426" s="58"/>
      <c r="O426" s="58"/>
      <c r="P426" s="58"/>
      <c r="Q426" s="58"/>
      <c r="R426" s="58"/>
      <c r="S426" s="58"/>
    </row>
    <row r="427" spans="2:19" x14ac:dyDescent="0.15">
      <c r="B427" s="58"/>
      <c r="C427" s="58"/>
      <c r="D427" s="58"/>
      <c r="E427" s="58"/>
      <c r="F427" s="58"/>
      <c r="G427" s="58"/>
      <c r="H427" s="58"/>
      <c r="I427" s="58"/>
      <c r="J427" s="58"/>
      <c r="K427" s="58"/>
      <c r="L427" s="58"/>
      <c r="M427" s="58"/>
      <c r="N427" s="58"/>
      <c r="O427" s="58"/>
      <c r="P427" s="58"/>
      <c r="Q427" s="58"/>
      <c r="R427" s="58"/>
      <c r="S427" s="58"/>
    </row>
    <row r="428" spans="2:19" x14ac:dyDescent="0.15">
      <c r="B428" s="58"/>
      <c r="C428" s="58"/>
      <c r="D428" s="58"/>
      <c r="E428" s="58"/>
      <c r="F428" s="58"/>
      <c r="G428" s="58"/>
      <c r="H428" s="58"/>
      <c r="I428" s="58"/>
      <c r="J428" s="58"/>
      <c r="K428" s="58"/>
      <c r="L428" s="58"/>
      <c r="M428" s="58"/>
      <c r="N428" s="58"/>
      <c r="O428" s="58"/>
      <c r="P428" s="58"/>
      <c r="Q428" s="58"/>
      <c r="R428" s="58"/>
      <c r="S428" s="58"/>
    </row>
    <row r="429" spans="2:19" x14ac:dyDescent="0.15">
      <c r="B429" s="58"/>
      <c r="C429" s="58"/>
      <c r="D429" s="58"/>
      <c r="E429" s="58"/>
      <c r="F429" s="58"/>
      <c r="G429" s="58"/>
      <c r="H429" s="58"/>
      <c r="I429" s="58"/>
      <c r="J429" s="58"/>
      <c r="K429" s="58"/>
      <c r="L429" s="58"/>
      <c r="M429" s="58"/>
      <c r="N429" s="58"/>
      <c r="O429" s="58"/>
      <c r="P429" s="58"/>
      <c r="Q429" s="58"/>
      <c r="R429" s="58"/>
      <c r="S429" s="58"/>
    </row>
    <row r="430" spans="2:19" x14ac:dyDescent="0.15">
      <c r="B430" s="58"/>
      <c r="C430" s="58"/>
      <c r="D430" s="58"/>
      <c r="E430" s="58"/>
      <c r="F430" s="58"/>
      <c r="G430" s="58"/>
      <c r="H430" s="58"/>
      <c r="I430" s="58"/>
      <c r="J430" s="58"/>
      <c r="K430" s="58"/>
      <c r="L430" s="58"/>
      <c r="M430" s="58"/>
      <c r="N430" s="58"/>
      <c r="O430" s="58"/>
      <c r="P430" s="58"/>
      <c r="Q430" s="58"/>
      <c r="R430" s="58"/>
      <c r="S430" s="58"/>
    </row>
    <row r="431" spans="2:19" x14ac:dyDescent="0.15">
      <c r="B431" s="58"/>
      <c r="C431" s="58"/>
      <c r="D431" s="58"/>
      <c r="E431" s="58"/>
      <c r="F431" s="58"/>
      <c r="G431" s="58"/>
      <c r="H431" s="58"/>
      <c r="I431" s="58"/>
      <c r="J431" s="58"/>
      <c r="K431" s="58"/>
      <c r="L431" s="58"/>
      <c r="M431" s="58"/>
      <c r="N431" s="58"/>
      <c r="O431" s="58"/>
      <c r="P431" s="58"/>
      <c r="Q431" s="58"/>
      <c r="R431" s="58"/>
      <c r="S431" s="58"/>
    </row>
    <row r="432" spans="2:19" x14ac:dyDescent="0.15">
      <c r="B432" s="58"/>
      <c r="C432" s="58"/>
      <c r="D432" s="58"/>
      <c r="E432" s="58"/>
      <c r="F432" s="58"/>
      <c r="G432" s="58"/>
      <c r="H432" s="58"/>
      <c r="I432" s="58"/>
      <c r="J432" s="58"/>
      <c r="K432" s="58"/>
      <c r="L432" s="58"/>
      <c r="M432" s="58"/>
      <c r="N432" s="58"/>
      <c r="O432" s="58"/>
      <c r="P432" s="58"/>
      <c r="Q432" s="58"/>
      <c r="R432" s="58"/>
      <c r="S432" s="58"/>
    </row>
    <row r="433" spans="2:19" x14ac:dyDescent="0.15">
      <c r="B433" s="58"/>
      <c r="C433" s="58"/>
      <c r="D433" s="58"/>
      <c r="E433" s="58"/>
      <c r="F433" s="58"/>
      <c r="G433" s="58"/>
      <c r="H433" s="58"/>
      <c r="I433" s="58"/>
      <c r="J433" s="58"/>
      <c r="K433" s="58"/>
      <c r="L433" s="58"/>
      <c r="M433" s="58"/>
      <c r="N433" s="58"/>
      <c r="O433" s="58"/>
      <c r="P433" s="58"/>
      <c r="Q433" s="58"/>
      <c r="R433" s="58"/>
      <c r="S433" s="58"/>
    </row>
    <row r="434" spans="2:19" x14ac:dyDescent="0.15">
      <c r="B434" s="58"/>
      <c r="C434" s="58"/>
      <c r="D434" s="58"/>
      <c r="E434" s="58"/>
      <c r="F434" s="58"/>
      <c r="G434" s="58"/>
      <c r="H434" s="58"/>
      <c r="I434" s="58"/>
      <c r="J434" s="58"/>
      <c r="K434" s="58"/>
      <c r="L434" s="58"/>
      <c r="M434" s="58"/>
      <c r="N434" s="58"/>
      <c r="O434" s="58"/>
      <c r="P434" s="58"/>
      <c r="Q434" s="58"/>
      <c r="R434" s="58"/>
      <c r="S434" s="58"/>
    </row>
    <row r="435" spans="2:19" x14ac:dyDescent="0.15">
      <c r="B435" s="58"/>
      <c r="C435" s="58"/>
      <c r="D435" s="58"/>
      <c r="E435" s="58"/>
      <c r="F435" s="58"/>
      <c r="G435" s="58"/>
      <c r="H435" s="58"/>
      <c r="I435" s="58"/>
      <c r="J435" s="58"/>
      <c r="K435" s="58"/>
      <c r="L435" s="58"/>
      <c r="M435" s="58"/>
      <c r="N435" s="58"/>
      <c r="O435" s="58"/>
      <c r="P435" s="58"/>
      <c r="Q435" s="58"/>
      <c r="R435" s="58"/>
      <c r="S435" s="58"/>
    </row>
    <row r="436" spans="2:19" x14ac:dyDescent="0.15">
      <c r="B436" s="58"/>
      <c r="C436" s="58"/>
      <c r="D436" s="58"/>
      <c r="E436" s="58"/>
      <c r="F436" s="58"/>
      <c r="G436" s="58"/>
      <c r="H436" s="58"/>
      <c r="I436" s="58"/>
      <c r="J436" s="58"/>
      <c r="K436" s="58"/>
      <c r="L436" s="58"/>
      <c r="M436" s="58"/>
      <c r="N436" s="58"/>
      <c r="O436" s="58"/>
      <c r="P436" s="58"/>
      <c r="Q436" s="58"/>
      <c r="R436" s="58"/>
      <c r="S436" s="58"/>
    </row>
    <row r="437" spans="2:19" x14ac:dyDescent="0.15">
      <c r="B437" s="58"/>
      <c r="C437" s="58"/>
      <c r="D437" s="58"/>
      <c r="E437" s="58"/>
      <c r="F437" s="58"/>
      <c r="G437" s="58"/>
      <c r="H437" s="58"/>
      <c r="I437" s="58"/>
      <c r="J437" s="58"/>
      <c r="K437" s="58"/>
      <c r="L437" s="58"/>
      <c r="M437" s="58"/>
      <c r="N437" s="58"/>
      <c r="O437" s="58"/>
      <c r="P437" s="58"/>
      <c r="Q437" s="58"/>
      <c r="R437" s="58"/>
      <c r="S437" s="58"/>
    </row>
    <row r="438" spans="2:19" x14ac:dyDescent="0.15">
      <c r="B438" s="58"/>
      <c r="C438" s="58"/>
      <c r="D438" s="58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58"/>
      <c r="P438" s="58"/>
      <c r="Q438" s="58"/>
      <c r="R438" s="58"/>
      <c r="S438" s="58"/>
    </row>
    <row r="439" spans="2:19" x14ac:dyDescent="0.15">
      <c r="B439" s="58"/>
      <c r="C439" s="58"/>
      <c r="D439" s="58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58"/>
      <c r="P439" s="58"/>
      <c r="Q439" s="58"/>
      <c r="R439" s="58"/>
      <c r="S439" s="58"/>
    </row>
    <row r="440" spans="2:19" x14ac:dyDescent="0.15">
      <c r="B440" s="58"/>
      <c r="C440" s="58"/>
      <c r="D440" s="58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58"/>
      <c r="P440" s="58"/>
      <c r="Q440" s="58"/>
      <c r="R440" s="58"/>
      <c r="S440" s="58"/>
    </row>
    <row r="441" spans="2:19" x14ac:dyDescent="0.15">
      <c r="B441" s="58"/>
      <c r="C441" s="58"/>
      <c r="D441" s="58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58"/>
      <c r="P441" s="58"/>
      <c r="Q441" s="58"/>
      <c r="R441" s="58"/>
      <c r="S441" s="58"/>
    </row>
    <row r="442" spans="2:19" x14ac:dyDescent="0.15">
      <c r="B442" s="58"/>
      <c r="C442" s="58"/>
      <c r="D442" s="58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58"/>
      <c r="P442" s="58"/>
      <c r="Q442" s="58"/>
      <c r="R442" s="58"/>
      <c r="S442" s="58"/>
    </row>
    <row r="443" spans="2:19" x14ac:dyDescent="0.15">
      <c r="B443" s="58"/>
      <c r="C443" s="58"/>
      <c r="D443" s="58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58"/>
      <c r="P443" s="58"/>
      <c r="Q443" s="58"/>
      <c r="R443" s="58"/>
      <c r="S443" s="58"/>
    </row>
    <row r="444" spans="2:19" x14ac:dyDescent="0.15">
      <c r="B444" s="58"/>
      <c r="C444" s="58"/>
      <c r="D444" s="58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58"/>
      <c r="P444" s="58"/>
      <c r="Q444" s="58"/>
      <c r="R444" s="58"/>
      <c r="S444" s="58"/>
    </row>
    <row r="445" spans="2:19" x14ac:dyDescent="0.15">
      <c r="B445" s="58"/>
      <c r="C445" s="58"/>
      <c r="D445" s="58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58"/>
      <c r="P445" s="58"/>
      <c r="Q445" s="58"/>
      <c r="R445" s="58"/>
      <c r="S445" s="58"/>
    </row>
    <row r="446" spans="2:19" x14ac:dyDescent="0.15">
      <c r="B446" s="58"/>
      <c r="C446" s="58"/>
      <c r="D446" s="58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58"/>
      <c r="P446" s="58"/>
      <c r="Q446" s="58"/>
      <c r="R446" s="58"/>
      <c r="S446" s="58"/>
    </row>
    <row r="447" spans="2:19" x14ac:dyDescent="0.15">
      <c r="B447" s="58"/>
      <c r="C447" s="58"/>
      <c r="D447" s="58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58"/>
      <c r="P447" s="58"/>
      <c r="Q447" s="58"/>
      <c r="R447" s="58"/>
      <c r="S447" s="58"/>
    </row>
    <row r="448" spans="2:19" x14ac:dyDescent="0.15">
      <c r="B448" s="58"/>
      <c r="C448" s="58"/>
      <c r="D448" s="58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58"/>
      <c r="P448" s="58"/>
      <c r="Q448" s="58"/>
      <c r="R448" s="58"/>
      <c r="S448" s="58"/>
    </row>
    <row r="449" spans="2:19" x14ac:dyDescent="0.15">
      <c r="B449" s="58"/>
      <c r="C449" s="58"/>
      <c r="D449" s="58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58"/>
      <c r="P449" s="58"/>
      <c r="Q449" s="58"/>
      <c r="R449" s="58"/>
      <c r="S449" s="58"/>
    </row>
    <row r="450" spans="2:19" x14ac:dyDescent="0.15">
      <c r="B450" s="58"/>
      <c r="C450" s="58"/>
      <c r="D450" s="58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58"/>
      <c r="P450" s="58"/>
      <c r="Q450" s="58"/>
      <c r="R450" s="58"/>
      <c r="S450" s="58"/>
    </row>
    <row r="451" spans="2:19" x14ac:dyDescent="0.15">
      <c r="B451" s="58"/>
      <c r="C451" s="58"/>
      <c r="D451" s="58"/>
      <c r="E451" s="58"/>
      <c r="F451" s="58"/>
      <c r="G451" s="58"/>
      <c r="H451" s="58"/>
      <c r="I451" s="58"/>
      <c r="J451" s="58"/>
      <c r="K451" s="58"/>
      <c r="L451" s="58"/>
      <c r="M451" s="58"/>
      <c r="N451" s="58"/>
      <c r="O451" s="58"/>
      <c r="P451" s="58"/>
      <c r="Q451" s="58"/>
      <c r="R451" s="58"/>
      <c r="S451" s="58"/>
    </row>
    <row r="452" spans="2:19" x14ac:dyDescent="0.15">
      <c r="B452" s="58"/>
      <c r="C452" s="58"/>
      <c r="D452" s="58"/>
      <c r="E452" s="58"/>
      <c r="F452" s="58"/>
      <c r="G452" s="58"/>
      <c r="H452" s="58"/>
      <c r="I452" s="58"/>
      <c r="J452" s="58"/>
      <c r="K452" s="58"/>
      <c r="L452" s="58"/>
      <c r="M452" s="58"/>
      <c r="N452" s="58"/>
      <c r="O452" s="58"/>
      <c r="P452" s="58"/>
      <c r="Q452" s="58"/>
      <c r="R452" s="58"/>
      <c r="S452" s="58"/>
    </row>
    <row r="453" spans="2:19" x14ac:dyDescent="0.15">
      <c r="B453" s="58"/>
      <c r="C453" s="58"/>
      <c r="D453" s="58"/>
      <c r="E453" s="58"/>
      <c r="F453" s="58"/>
      <c r="G453" s="58"/>
      <c r="H453" s="58"/>
      <c r="I453" s="58"/>
      <c r="J453" s="58"/>
      <c r="K453" s="58"/>
      <c r="L453" s="58"/>
      <c r="M453" s="58"/>
      <c r="N453" s="58"/>
      <c r="O453" s="58"/>
      <c r="P453" s="58"/>
      <c r="Q453" s="58"/>
      <c r="R453" s="58"/>
      <c r="S453" s="58"/>
    </row>
    <row r="454" spans="2:19" x14ac:dyDescent="0.15">
      <c r="B454" s="58"/>
      <c r="C454" s="58"/>
      <c r="D454" s="58"/>
      <c r="E454" s="58"/>
      <c r="F454" s="58"/>
      <c r="G454" s="58"/>
      <c r="H454" s="58"/>
      <c r="I454" s="58"/>
      <c r="J454" s="58"/>
      <c r="K454" s="58"/>
      <c r="L454" s="58"/>
      <c r="M454" s="58"/>
      <c r="N454" s="58"/>
      <c r="O454" s="58"/>
      <c r="P454" s="58"/>
      <c r="Q454" s="58"/>
      <c r="R454" s="58"/>
      <c r="S454" s="58"/>
    </row>
    <row r="455" spans="2:19" x14ac:dyDescent="0.15">
      <c r="B455" s="58"/>
      <c r="C455" s="58"/>
      <c r="D455" s="58"/>
      <c r="E455" s="58"/>
      <c r="F455" s="58"/>
      <c r="G455" s="58"/>
      <c r="H455" s="58"/>
      <c r="I455" s="58"/>
      <c r="J455" s="58"/>
      <c r="K455" s="58"/>
      <c r="L455" s="58"/>
      <c r="M455" s="58"/>
      <c r="N455" s="58"/>
      <c r="O455" s="58"/>
      <c r="P455" s="58"/>
      <c r="Q455" s="58"/>
      <c r="R455" s="58"/>
      <c r="S455" s="58"/>
    </row>
    <row r="456" spans="2:19" x14ac:dyDescent="0.15">
      <c r="B456" s="58"/>
      <c r="C456" s="58"/>
      <c r="D456" s="58"/>
      <c r="E456" s="58"/>
      <c r="F456" s="58"/>
      <c r="G456" s="58"/>
      <c r="H456" s="58"/>
      <c r="I456" s="58"/>
      <c r="J456" s="58"/>
      <c r="K456" s="58"/>
      <c r="L456" s="58"/>
      <c r="M456" s="58"/>
      <c r="N456" s="58"/>
      <c r="O456" s="58"/>
      <c r="P456" s="58"/>
      <c r="Q456" s="58"/>
      <c r="R456" s="58"/>
      <c r="S456" s="58"/>
    </row>
    <row r="457" spans="2:19" x14ac:dyDescent="0.15">
      <c r="B457" s="58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</row>
    <row r="458" spans="2:19" x14ac:dyDescent="0.15">
      <c r="B458" s="58"/>
      <c r="C458" s="58"/>
      <c r="D458" s="58"/>
      <c r="E458" s="58"/>
      <c r="F458" s="58"/>
      <c r="G458" s="58"/>
      <c r="H458" s="58"/>
      <c r="I458" s="58"/>
      <c r="J458" s="58"/>
      <c r="K458" s="58"/>
      <c r="L458" s="58"/>
      <c r="M458" s="58"/>
      <c r="N458" s="58"/>
      <c r="O458" s="58"/>
      <c r="P458" s="58"/>
      <c r="Q458" s="58"/>
      <c r="R458" s="58"/>
      <c r="S458" s="58"/>
    </row>
    <row r="459" spans="2:19" x14ac:dyDescent="0.15">
      <c r="B459" s="58"/>
      <c r="C459" s="58"/>
      <c r="D459" s="58"/>
      <c r="E459" s="58"/>
      <c r="F459" s="58"/>
      <c r="G459" s="58"/>
      <c r="H459" s="58"/>
      <c r="I459" s="58"/>
      <c r="J459" s="58"/>
      <c r="K459" s="58"/>
      <c r="L459" s="58"/>
      <c r="M459" s="58"/>
      <c r="N459" s="58"/>
      <c r="O459" s="58"/>
      <c r="P459" s="58"/>
      <c r="Q459" s="58"/>
      <c r="R459" s="58"/>
      <c r="S459" s="58"/>
    </row>
    <row r="460" spans="2:19" x14ac:dyDescent="0.15">
      <c r="B460" s="58"/>
      <c r="C460" s="58"/>
      <c r="D460" s="58"/>
      <c r="E460" s="58"/>
      <c r="F460" s="58"/>
      <c r="G460" s="58"/>
      <c r="H460" s="58"/>
      <c r="I460" s="58"/>
      <c r="J460" s="58"/>
      <c r="K460" s="58"/>
      <c r="L460" s="58"/>
      <c r="M460" s="58"/>
      <c r="N460" s="58"/>
      <c r="O460" s="58"/>
      <c r="P460" s="58"/>
      <c r="Q460" s="58"/>
      <c r="R460" s="58"/>
      <c r="S460" s="58"/>
    </row>
    <row r="461" spans="2:19" x14ac:dyDescent="0.15">
      <c r="B461" s="58"/>
      <c r="C461" s="58"/>
      <c r="D461" s="58"/>
      <c r="E461" s="58"/>
      <c r="F461" s="58"/>
      <c r="G461" s="58"/>
      <c r="H461" s="58"/>
      <c r="I461" s="58"/>
      <c r="J461" s="58"/>
      <c r="K461" s="58"/>
      <c r="L461" s="58"/>
      <c r="M461" s="58"/>
      <c r="N461" s="58"/>
      <c r="O461" s="58"/>
      <c r="P461" s="58"/>
      <c r="Q461" s="58"/>
      <c r="R461" s="58"/>
      <c r="S461" s="58"/>
    </row>
    <row r="462" spans="2:19" x14ac:dyDescent="0.15">
      <c r="B462" s="58"/>
      <c r="C462" s="58"/>
      <c r="D462" s="58"/>
      <c r="E462" s="58"/>
      <c r="F462" s="58"/>
      <c r="G462" s="58"/>
      <c r="H462" s="58"/>
      <c r="I462" s="58"/>
      <c r="J462" s="58"/>
      <c r="K462" s="58"/>
      <c r="L462" s="58"/>
      <c r="M462" s="58"/>
      <c r="N462" s="58"/>
      <c r="O462" s="58"/>
      <c r="P462" s="58"/>
      <c r="Q462" s="58"/>
      <c r="R462" s="58"/>
      <c r="S462" s="58"/>
    </row>
    <row r="463" spans="2:19" x14ac:dyDescent="0.15">
      <c r="B463" s="58"/>
      <c r="C463" s="58"/>
      <c r="D463" s="58"/>
      <c r="E463" s="58"/>
      <c r="F463" s="58"/>
      <c r="G463" s="58"/>
      <c r="H463" s="58"/>
      <c r="I463" s="58"/>
      <c r="J463" s="58"/>
      <c r="K463" s="58"/>
      <c r="L463" s="58"/>
      <c r="M463" s="58"/>
      <c r="N463" s="58"/>
      <c r="O463" s="58"/>
      <c r="P463" s="58"/>
      <c r="Q463" s="58"/>
      <c r="R463" s="58"/>
      <c r="S463" s="58"/>
    </row>
    <row r="464" spans="2:19" x14ac:dyDescent="0.15">
      <c r="B464" s="58"/>
      <c r="C464" s="58"/>
      <c r="D464" s="58"/>
      <c r="E464" s="58"/>
      <c r="F464" s="58"/>
      <c r="G464" s="58"/>
      <c r="H464" s="58"/>
      <c r="I464" s="58"/>
      <c r="J464" s="58"/>
      <c r="K464" s="58"/>
      <c r="L464" s="58"/>
      <c r="M464" s="58"/>
      <c r="N464" s="58"/>
      <c r="O464" s="58"/>
      <c r="P464" s="58"/>
      <c r="Q464" s="58"/>
      <c r="R464" s="58"/>
      <c r="S464" s="58"/>
    </row>
    <row r="465" spans="2:19" x14ac:dyDescent="0.15">
      <c r="B465" s="58"/>
      <c r="C465" s="58"/>
      <c r="D465" s="58"/>
      <c r="E465" s="58"/>
      <c r="F465" s="58"/>
      <c r="G465" s="58"/>
      <c r="H465" s="58"/>
      <c r="I465" s="58"/>
      <c r="J465" s="58"/>
      <c r="K465" s="58"/>
      <c r="L465" s="58"/>
      <c r="M465" s="58"/>
      <c r="N465" s="58"/>
      <c r="O465" s="58"/>
      <c r="P465" s="58"/>
      <c r="Q465" s="58"/>
      <c r="R465" s="58"/>
      <c r="S465" s="58"/>
    </row>
    <row r="466" spans="2:19" x14ac:dyDescent="0.15">
      <c r="B466" s="58"/>
      <c r="C466" s="58"/>
      <c r="D466" s="58"/>
      <c r="E466" s="58"/>
      <c r="F466" s="58"/>
      <c r="G466" s="58"/>
      <c r="H466" s="58"/>
      <c r="I466" s="58"/>
      <c r="J466" s="58"/>
      <c r="K466" s="58"/>
      <c r="L466" s="58"/>
      <c r="M466" s="58"/>
      <c r="N466" s="58"/>
      <c r="O466" s="58"/>
      <c r="P466" s="58"/>
      <c r="Q466" s="58"/>
      <c r="R466" s="58"/>
      <c r="S466" s="58"/>
    </row>
    <row r="467" spans="2:19" x14ac:dyDescent="0.15">
      <c r="B467" s="58"/>
      <c r="C467" s="58"/>
      <c r="D467" s="58"/>
      <c r="E467" s="58"/>
      <c r="F467" s="58"/>
      <c r="G467" s="58"/>
      <c r="H467" s="58"/>
      <c r="I467" s="58"/>
      <c r="J467" s="58"/>
      <c r="K467" s="58"/>
      <c r="L467" s="58"/>
      <c r="M467" s="58"/>
      <c r="N467" s="58"/>
      <c r="O467" s="58"/>
      <c r="P467" s="58"/>
      <c r="Q467" s="58"/>
      <c r="R467" s="58"/>
      <c r="S467" s="58"/>
    </row>
    <row r="468" spans="2:19" x14ac:dyDescent="0.15">
      <c r="B468" s="58"/>
      <c r="C468" s="58"/>
      <c r="D468" s="58"/>
      <c r="E468" s="58"/>
      <c r="F468" s="58"/>
      <c r="G468" s="58"/>
      <c r="H468" s="58"/>
      <c r="I468" s="58"/>
      <c r="J468" s="58"/>
      <c r="K468" s="58"/>
      <c r="L468" s="58"/>
      <c r="M468" s="58"/>
      <c r="N468" s="58"/>
      <c r="O468" s="58"/>
      <c r="P468" s="58"/>
      <c r="Q468" s="58"/>
      <c r="R468" s="58"/>
      <c r="S468" s="58"/>
    </row>
    <row r="469" spans="2:19" x14ac:dyDescent="0.15">
      <c r="B469" s="58"/>
      <c r="C469" s="58"/>
      <c r="D469" s="58"/>
      <c r="E469" s="58"/>
      <c r="F469" s="58"/>
      <c r="G469" s="58"/>
      <c r="H469" s="58"/>
      <c r="I469" s="58"/>
      <c r="J469" s="58"/>
      <c r="K469" s="58"/>
      <c r="L469" s="58"/>
      <c r="M469" s="58"/>
      <c r="N469" s="58"/>
      <c r="O469" s="58"/>
      <c r="P469" s="58"/>
      <c r="Q469" s="58"/>
      <c r="R469" s="58"/>
      <c r="S469" s="58"/>
    </row>
    <row r="470" spans="2:19" x14ac:dyDescent="0.15">
      <c r="B470" s="58"/>
      <c r="C470" s="58"/>
      <c r="D470" s="58"/>
      <c r="E470" s="58"/>
      <c r="F470" s="58"/>
      <c r="G470" s="58"/>
      <c r="H470" s="58"/>
      <c r="I470" s="58"/>
      <c r="J470" s="58"/>
      <c r="K470" s="58"/>
      <c r="L470" s="58"/>
      <c r="M470" s="58"/>
      <c r="N470" s="58"/>
      <c r="O470" s="58"/>
      <c r="P470" s="58"/>
      <c r="Q470" s="58"/>
      <c r="R470" s="58"/>
      <c r="S470" s="58"/>
    </row>
    <row r="471" spans="2:19" x14ac:dyDescent="0.15">
      <c r="B471" s="58"/>
      <c r="C471" s="58"/>
      <c r="D471" s="58"/>
      <c r="E471" s="58"/>
      <c r="F471" s="58"/>
      <c r="G471" s="58"/>
      <c r="H471" s="58"/>
      <c r="I471" s="58"/>
      <c r="J471" s="58"/>
      <c r="K471" s="58"/>
      <c r="L471" s="58"/>
      <c r="M471" s="58"/>
      <c r="N471" s="58"/>
      <c r="O471" s="58"/>
      <c r="P471" s="58"/>
      <c r="Q471" s="58"/>
      <c r="R471" s="58"/>
      <c r="S471" s="58"/>
    </row>
    <row r="472" spans="2:19" x14ac:dyDescent="0.15">
      <c r="B472" s="58"/>
      <c r="C472" s="58"/>
      <c r="D472" s="58"/>
      <c r="E472" s="58"/>
      <c r="F472" s="58"/>
      <c r="G472" s="58"/>
      <c r="H472" s="58"/>
      <c r="I472" s="58"/>
      <c r="J472" s="58"/>
      <c r="K472" s="58"/>
      <c r="L472" s="58"/>
      <c r="M472" s="58"/>
      <c r="N472" s="58"/>
      <c r="O472" s="58"/>
      <c r="P472" s="58"/>
      <c r="Q472" s="58"/>
      <c r="R472" s="58"/>
      <c r="S472" s="58"/>
    </row>
    <row r="473" spans="2:19" x14ac:dyDescent="0.15">
      <c r="B473" s="58"/>
      <c r="C473" s="58"/>
      <c r="D473" s="58"/>
      <c r="E473" s="58"/>
      <c r="F473" s="58"/>
      <c r="G473" s="58"/>
      <c r="H473" s="58"/>
      <c r="I473" s="58"/>
      <c r="J473" s="58"/>
      <c r="K473" s="58"/>
      <c r="L473" s="58"/>
      <c r="M473" s="58"/>
      <c r="N473" s="58"/>
      <c r="O473" s="58"/>
      <c r="P473" s="58"/>
      <c r="Q473" s="58"/>
      <c r="R473" s="58"/>
      <c r="S473" s="58"/>
    </row>
    <row r="474" spans="2:19" x14ac:dyDescent="0.15">
      <c r="B474" s="58"/>
      <c r="C474" s="58"/>
      <c r="D474" s="58"/>
      <c r="E474" s="58"/>
      <c r="F474" s="58"/>
      <c r="G474" s="58"/>
      <c r="H474" s="58"/>
      <c r="I474" s="58"/>
      <c r="J474" s="58"/>
      <c r="K474" s="58"/>
      <c r="L474" s="58"/>
      <c r="M474" s="58"/>
      <c r="N474" s="58"/>
      <c r="O474" s="58"/>
      <c r="P474" s="58"/>
      <c r="Q474" s="58"/>
      <c r="R474" s="58"/>
      <c r="S474" s="58"/>
    </row>
    <row r="475" spans="2:19" x14ac:dyDescent="0.15">
      <c r="B475" s="58"/>
      <c r="C475" s="58"/>
      <c r="D475" s="58"/>
      <c r="E475" s="58"/>
      <c r="F475" s="58"/>
      <c r="G475" s="58"/>
      <c r="H475" s="58"/>
      <c r="I475" s="58"/>
      <c r="J475" s="58"/>
      <c r="K475" s="58"/>
      <c r="L475" s="58"/>
      <c r="M475" s="58"/>
      <c r="N475" s="58"/>
      <c r="O475" s="58"/>
      <c r="P475" s="58"/>
      <c r="Q475" s="58"/>
      <c r="R475" s="58"/>
      <c r="S475" s="58"/>
    </row>
    <row r="476" spans="2:19" x14ac:dyDescent="0.15">
      <c r="B476" s="58"/>
      <c r="C476" s="58"/>
      <c r="D476" s="58"/>
      <c r="E476" s="58"/>
      <c r="F476" s="58"/>
      <c r="G476" s="58"/>
      <c r="H476" s="58"/>
      <c r="I476" s="58"/>
      <c r="J476" s="58"/>
      <c r="K476" s="58"/>
      <c r="L476" s="58"/>
      <c r="M476" s="58"/>
      <c r="N476" s="58"/>
      <c r="O476" s="58"/>
      <c r="P476" s="58"/>
      <c r="Q476" s="58"/>
      <c r="R476" s="58"/>
      <c r="S476" s="58"/>
    </row>
    <row r="477" spans="2:19" x14ac:dyDescent="0.15">
      <c r="B477" s="58"/>
      <c r="C477" s="58"/>
      <c r="D477" s="58"/>
      <c r="E477" s="58"/>
      <c r="F477" s="58"/>
      <c r="G477" s="58"/>
      <c r="H477" s="58"/>
      <c r="I477" s="58"/>
      <c r="J477" s="58"/>
      <c r="K477" s="58"/>
      <c r="L477" s="58"/>
      <c r="M477" s="58"/>
      <c r="N477" s="58"/>
      <c r="O477" s="58"/>
      <c r="P477" s="58"/>
      <c r="Q477" s="58"/>
      <c r="R477" s="58"/>
      <c r="S477" s="58"/>
    </row>
    <row r="478" spans="2:19" x14ac:dyDescent="0.15">
      <c r="B478" s="58"/>
      <c r="C478" s="58"/>
      <c r="D478" s="58"/>
      <c r="E478" s="58"/>
      <c r="F478" s="58"/>
      <c r="G478" s="58"/>
      <c r="H478" s="58"/>
      <c r="I478" s="58"/>
      <c r="J478" s="58"/>
      <c r="K478" s="58"/>
      <c r="L478" s="58"/>
      <c r="M478" s="58"/>
      <c r="N478" s="58"/>
      <c r="O478" s="58"/>
      <c r="P478" s="58"/>
      <c r="Q478" s="58"/>
      <c r="R478" s="58"/>
      <c r="S478" s="58"/>
    </row>
    <row r="479" spans="2:19" x14ac:dyDescent="0.15">
      <c r="B479" s="58"/>
      <c r="C479" s="58"/>
      <c r="D479" s="58"/>
      <c r="E479" s="58"/>
      <c r="F479" s="58"/>
      <c r="G479" s="58"/>
      <c r="H479" s="58"/>
      <c r="I479" s="58"/>
      <c r="J479" s="58"/>
      <c r="K479" s="58"/>
      <c r="L479" s="58"/>
      <c r="M479" s="58"/>
      <c r="N479" s="58"/>
      <c r="O479" s="58"/>
      <c r="P479" s="58"/>
      <c r="Q479" s="58"/>
      <c r="R479" s="58"/>
      <c r="S479" s="58"/>
    </row>
    <row r="480" spans="2:19" x14ac:dyDescent="0.15">
      <c r="B480" s="58"/>
      <c r="C480" s="58"/>
      <c r="D480" s="58"/>
      <c r="E480" s="58"/>
      <c r="F480" s="58"/>
      <c r="G480" s="58"/>
      <c r="H480" s="58"/>
      <c r="I480" s="58"/>
      <c r="J480" s="58"/>
      <c r="K480" s="58"/>
      <c r="L480" s="58"/>
      <c r="M480" s="58"/>
      <c r="N480" s="58"/>
      <c r="O480" s="58"/>
      <c r="P480" s="58"/>
      <c r="Q480" s="58"/>
      <c r="R480" s="58"/>
      <c r="S480" s="58"/>
    </row>
    <row r="481" spans="2:19" x14ac:dyDescent="0.15">
      <c r="B481" s="58"/>
      <c r="C481" s="58"/>
      <c r="D481" s="58"/>
      <c r="E481" s="58"/>
      <c r="F481" s="58"/>
      <c r="G481" s="58"/>
      <c r="H481" s="58"/>
      <c r="I481" s="58"/>
      <c r="J481" s="58"/>
      <c r="K481" s="58"/>
      <c r="L481" s="58"/>
      <c r="M481" s="58"/>
      <c r="N481" s="58"/>
      <c r="O481" s="58"/>
      <c r="P481" s="58"/>
      <c r="Q481" s="58"/>
      <c r="R481" s="58"/>
      <c r="S481" s="58"/>
    </row>
    <row r="482" spans="2:19" x14ac:dyDescent="0.15">
      <c r="B482" s="58"/>
      <c r="C482" s="58"/>
      <c r="D482" s="58"/>
      <c r="E482" s="58"/>
      <c r="F482" s="58"/>
      <c r="G482" s="58"/>
      <c r="H482" s="58"/>
      <c r="I482" s="58"/>
      <c r="J482" s="58"/>
      <c r="K482" s="58"/>
      <c r="L482" s="58"/>
      <c r="M482" s="58"/>
      <c r="N482" s="58"/>
      <c r="O482" s="58"/>
      <c r="P482" s="58"/>
      <c r="Q482" s="58"/>
      <c r="R482" s="58"/>
      <c r="S482" s="58"/>
    </row>
    <row r="483" spans="2:19" x14ac:dyDescent="0.15">
      <c r="B483" s="58"/>
      <c r="C483" s="58"/>
      <c r="D483" s="58"/>
      <c r="E483" s="58"/>
      <c r="F483" s="58"/>
      <c r="G483" s="58"/>
      <c r="H483" s="58"/>
      <c r="I483" s="58"/>
      <c r="J483" s="58"/>
      <c r="K483" s="58"/>
      <c r="L483" s="58"/>
      <c r="M483" s="58"/>
      <c r="N483" s="58"/>
      <c r="O483" s="58"/>
      <c r="P483" s="58"/>
      <c r="Q483" s="58"/>
      <c r="R483" s="58"/>
      <c r="S483" s="58"/>
    </row>
    <row r="484" spans="2:19" x14ac:dyDescent="0.15">
      <c r="B484" s="58"/>
      <c r="C484" s="58"/>
      <c r="D484" s="58"/>
      <c r="E484" s="58"/>
      <c r="F484" s="58"/>
      <c r="G484" s="58"/>
      <c r="H484" s="58"/>
      <c r="I484" s="58"/>
      <c r="J484" s="58"/>
      <c r="K484" s="58"/>
      <c r="L484" s="58"/>
      <c r="M484" s="58"/>
      <c r="N484" s="58"/>
      <c r="O484" s="58"/>
      <c r="P484" s="58"/>
      <c r="Q484" s="58"/>
      <c r="R484" s="58"/>
      <c r="S484" s="58"/>
    </row>
    <row r="485" spans="2:19" x14ac:dyDescent="0.15">
      <c r="B485" s="58"/>
      <c r="C485" s="58"/>
      <c r="D485" s="58"/>
      <c r="E485" s="58"/>
      <c r="F485" s="58"/>
      <c r="G485" s="58"/>
      <c r="H485" s="58"/>
      <c r="I485" s="58"/>
      <c r="J485" s="58"/>
      <c r="K485" s="58"/>
      <c r="L485" s="58"/>
      <c r="M485" s="58"/>
      <c r="N485" s="58"/>
      <c r="O485" s="58"/>
      <c r="P485" s="58"/>
      <c r="Q485" s="58"/>
      <c r="R485" s="58"/>
      <c r="S485" s="58"/>
    </row>
    <row r="486" spans="2:19" x14ac:dyDescent="0.15">
      <c r="B486" s="58"/>
      <c r="C486" s="58"/>
      <c r="D486" s="58"/>
      <c r="E486" s="58"/>
      <c r="F486" s="58"/>
      <c r="G486" s="58"/>
      <c r="H486" s="58"/>
      <c r="I486" s="58"/>
      <c r="J486" s="58"/>
      <c r="K486" s="58"/>
      <c r="L486" s="58"/>
      <c r="M486" s="58"/>
      <c r="N486" s="58"/>
      <c r="O486" s="58"/>
      <c r="P486" s="58"/>
      <c r="Q486" s="58"/>
      <c r="R486" s="58"/>
      <c r="S486" s="58"/>
    </row>
    <row r="487" spans="2:19" x14ac:dyDescent="0.15">
      <c r="B487" s="58"/>
      <c r="C487" s="58"/>
      <c r="D487" s="58"/>
      <c r="E487" s="58"/>
      <c r="F487" s="58"/>
      <c r="G487" s="58"/>
      <c r="H487" s="58"/>
      <c r="I487" s="58"/>
      <c r="J487" s="58"/>
      <c r="K487" s="58"/>
      <c r="L487" s="58"/>
      <c r="M487" s="58"/>
      <c r="N487" s="58"/>
      <c r="O487" s="58"/>
      <c r="P487" s="58"/>
      <c r="Q487" s="58"/>
      <c r="R487" s="58"/>
      <c r="S487" s="58"/>
    </row>
    <row r="488" spans="2:19" x14ac:dyDescent="0.15">
      <c r="B488" s="58"/>
      <c r="C488" s="58"/>
      <c r="D488" s="58"/>
      <c r="E488" s="58"/>
      <c r="F488" s="58"/>
      <c r="G488" s="58"/>
      <c r="H488" s="58"/>
      <c r="I488" s="58"/>
      <c r="J488" s="58"/>
      <c r="K488" s="58"/>
      <c r="L488" s="58"/>
      <c r="M488" s="58"/>
      <c r="N488" s="58"/>
      <c r="O488" s="58"/>
      <c r="P488" s="58"/>
      <c r="Q488" s="58"/>
      <c r="R488" s="58"/>
      <c r="S488" s="58"/>
    </row>
    <row r="489" spans="2:19" x14ac:dyDescent="0.15">
      <c r="B489" s="58"/>
      <c r="C489" s="58"/>
      <c r="D489" s="58"/>
      <c r="E489" s="58"/>
      <c r="F489" s="58"/>
      <c r="G489" s="58"/>
      <c r="H489" s="58"/>
      <c r="I489" s="58"/>
      <c r="J489" s="58"/>
      <c r="K489" s="58"/>
      <c r="L489" s="58"/>
      <c r="M489" s="58"/>
      <c r="N489" s="58"/>
      <c r="O489" s="58"/>
      <c r="P489" s="58"/>
      <c r="Q489" s="58"/>
      <c r="R489" s="58"/>
      <c r="S489" s="58"/>
    </row>
    <row r="490" spans="2:19" x14ac:dyDescent="0.15">
      <c r="B490" s="58"/>
      <c r="C490" s="58"/>
      <c r="D490" s="58"/>
      <c r="E490" s="58"/>
      <c r="F490" s="58"/>
      <c r="G490" s="58"/>
      <c r="H490" s="58"/>
      <c r="I490" s="58"/>
      <c r="J490" s="58"/>
      <c r="K490" s="58"/>
      <c r="L490" s="58"/>
      <c r="M490" s="58"/>
      <c r="N490" s="58"/>
      <c r="O490" s="58"/>
      <c r="P490" s="58"/>
      <c r="Q490" s="58"/>
      <c r="R490" s="58"/>
      <c r="S490" s="58"/>
    </row>
    <row r="491" spans="2:19" x14ac:dyDescent="0.15">
      <c r="B491" s="58"/>
      <c r="C491" s="58"/>
      <c r="D491" s="58"/>
      <c r="E491" s="58"/>
      <c r="F491" s="58"/>
      <c r="G491" s="58"/>
      <c r="H491" s="58"/>
      <c r="I491" s="58"/>
      <c r="J491" s="58"/>
      <c r="K491" s="58"/>
      <c r="L491" s="58"/>
      <c r="M491" s="58"/>
      <c r="N491" s="58"/>
      <c r="O491" s="58"/>
      <c r="P491" s="58"/>
      <c r="Q491" s="58"/>
      <c r="R491" s="58"/>
      <c r="S491" s="58"/>
    </row>
    <row r="492" spans="2:19" x14ac:dyDescent="0.15">
      <c r="B492" s="58"/>
      <c r="C492" s="58"/>
      <c r="D492" s="58"/>
      <c r="E492" s="58"/>
      <c r="F492" s="58"/>
      <c r="G492" s="58"/>
      <c r="H492" s="58"/>
      <c r="I492" s="58"/>
      <c r="J492" s="58"/>
      <c r="K492" s="58"/>
      <c r="L492" s="58"/>
      <c r="M492" s="58"/>
      <c r="N492" s="58"/>
      <c r="O492" s="58"/>
      <c r="P492" s="58"/>
      <c r="Q492" s="58"/>
      <c r="R492" s="58"/>
      <c r="S492" s="58"/>
    </row>
    <row r="493" spans="2:19" x14ac:dyDescent="0.15">
      <c r="B493" s="58"/>
      <c r="C493" s="58"/>
      <c r="D493" s="58"/>
      <c r="E493" s="58"/>
      <c r="F493" s="58"/>
      <c r="G493" s="58"/>
      <c r="H493" s="58"/>
      <c r="I493" s="58"/>
      <c r="J493" s="58"/>
      <c r="K493" s="58"/>
      <c r="L493" s="58"/>
      <c r="M493" s="58"/>
      <c r="N493" s="58"/>
      <c r="O493" s="58"/>
      <c r="P493" s="58"/>
      <c r="Q493" s="58"/>
      <c r="R493" s="58"/>
      <c r="S493" s="58"/>
    </row>
    <row r="494" spans="2:19" x14ac:dyDescent="0.15">
      <c r="B494" s="58"/>
      <c r="C494" s="58"/>
      <c r="D494" s="58"/>
      <c r="E494" s="58"/>
      <c r="F494" s="58"/>
      <c r="G494" s="58"/>
      <c r="H494" s="58"/>
      <c r="I494" s="58"/>
      <c r="J494" s="58"/>
      <c r="K494" s="58"/>
      <c r="L494" s="58"/>
      <c r="M494" s="58"/>
      <c r="N494" s="58"/>
      <c r="O494" s="58"/>
      <c r="P494" s="58"/>
      <c r="Q494" s="58"/>
      <c r="R494" s="58"/>
      <c r="S494" s="58"/>
    </row>
    <row r="495" spans="2:19" x14ac:dyDescent="0.15">
      <c r="B495" s="58"/>
      <c r="C495" s="58"/>
      <c r="D495" s="58"/>
      <c r="E495" s="58"/>
      <c r="F495" s="58"/>
      <c r="G495" s="58"/>
      <c r="H495" s="58"/>
      <c r="I495" s="58"/>
      <c r="J495" s="58"/>
      <c r="K495" s="58"/>
      <c r="L495" s="58"/>
      <c r="M495" s="58"/>
      <c r="N495" s="58"/>
      <c r="O495" s="58"/>
      <c r="P495" s="58"/>
      <c r="Q495" s="58"/>
      <c r="R495" s="58"/>
      <c r="S495" s="58"/>
    </row>
    <row r="496" spans="2:19" x14ac:dyDescent="0.15">
      <c r="B496" s="58"/>
      <c r="C496" s="58"/>
      <c r="D496" s="58"/>
      <c r="E496" s="58"/>
      <c r="F496" s="58"/>
      <c r="G496" s="58"/>
      <c r="H496" s="58"/>
      <c r="I496" s="58"/>
      <c r="J496" s="58"/>
      <c r="K496" s="58"/>
      <c r="L496" s="58"/>
      <c r="M496" s="58"/>
      <c r="N496" s="58"/>
      <c r="O496" s="58"/>
      <c r="P496" s="58"/>
      <c r="Q496" s="58"/>
      <c r="R496" s="58"/>
      <c r="S496" s="58"/>
    </row>
    <row r="497" spans="2:19" x14ac:dyDescent="0.15">
      <c r="B497" s="58"/>
      <c r="C497" s="58"/>
      <c r="D497" s="58"/>
      <c r="E497" s="58"/>
      <c r="F497" s="58"/>
      <c r="G497" s="58"/>
      <c r="H497" s="58"/>
      <c r="I497" s="58"/>
      <c r="J497" s="58"/>
      <c r="K497" s="58"/>
      <c r="L497" s="58"/>
      <c r="M497" s="58"/>
      <c r="N497" s="58"/>
      <c r="O497" s="58"/>
      <c r="P497" s="58"/>
      <c r="Q497" s="58"/>
      <c r="R497" s="58"/>
      <c r="S497" s="58"/>
    </row>
    <row r="498" spans="2:19" x14ac:dyDescent="0.15">
      <c r="B498" s="58"/>
      <c r="C498" s="58"/>
      <c r="D498" s="58"/>
      <c r="E498" s="58"/>
      <c r="F498" s="58"/>
      <c r="G498" s="58"/>
      <c r="H498" s="58"/>
      <c r="I498" s="58"/>
      <c r="J498" s="58"/>
      <c r="K498" s="58"/>
      <c r="L498" s="58"/>
      <c r="M498" s="58"/>
      <c r="N498" s="58"/>
      <c r="O498" s="58"/>
      <c r="P498" s="58"/>
      <c r="Q498" s="58"/>
      <c r="R498" s="58"/>
      <c r="S498" s="58"/>
    </row>
    <row r="499" spans="2:19" x14ac:dyDescent="0.15">
      <c r="B499" s="58"/>
      <c r="C499" s="58"/>
      <c r="D499" s="58"/>
      <c r="E499" s="58"/>
      <c r="F499" s="58"/>
      <c r="G499" s="58"/>
      <c r="H499" s="58"/>
      <c r="I499" s="58"/>
      <c r="J499" s="58"/>
      <c r="K499" s="58"/>
      <c r="L499" s="58"/>
      <c r="M499" s="58"/>
      <c r="N499" s="58"/>
      <c r="O499" s="58"/>
      <c r="P499" s="58"/>
      <c r="Q499" s="58"/>
      <c r="R499" s="58"/>
      <c r="S499" s="58"/>
    </row>
    <row r="500" spans="2:19" x14ac:dyDescent="0.15">
      <c r="B500" s="58"/>
      <c r="C500" s="58"/>
      <c r="D500" s="58"/>
      <c r="E500" s="58"/>
      <c r="F500" s="58"/>
      <c r="G500" s="58"/>
      <c r="H500" s="58"/>
      <c r="I500" s="58"/>
      <c r="J500" s="58"/>
      <c r="K500" s="58"/>
      <c r="L500" s="58"/>
      <c r="M500" s="58"/>
      <c r="N500" s="58"/>
      <c r="O500" s="58"/>
      <c r="P500" s="58"/>
      <c r="Q500" s="58"/>
      <c r="R500" s="58"/>
      <c r="S500" s="58"/>
    </row>
    <row r="501" spans="2:19" x14ac:dyDescent="0.15">
      <c r="B501" s="58"/>
      <c r="C501" s="58"/>
      <c r="D501" s="58"/>
      <c r="E501" s="58"/>
      <c r="F501" s="58"/>
      <c r="G501" s="58"/>
      <c r="H501" s="58"/>
      <c r="I501" s="58"/>
      <c r="J501" s="58"/>
      <c r="K501" s="58"/>
      <c r="L501" s="58"/>
      <c r="M501" s="58"/>
      <c r="N501" s="58"/>
      <c r="O501" s="58"/>
      <c r="P501" s="58"/>
      <c r="Q501" s="58"/>
      <c r="R501" s="58"/>
      <c r="S501" s="58"/>
    </row>
    <row r="502" spans="2:19" x14ac:dyDescent="0.15">
      <c r="B502" s="58"/>
      <c r="C502" s="58"/>
      <c r="D502" s="58"/>
      <c r="E502" s="58"/>
      <c r="F502" s="58"/>
      <c r="G502" s="58"/>
      <c r="H502" s="58"/>
      <c r="I502" s="58"/>
      <c r="J502" s="58"/>
      <c r="K502" s="58"/>
      <c r="L502" s="58"/>
      <c r="M502" s="58"/>
      <c r="N502" s="58"/>
      <c r="O502" s="58"/>
      <c r="P502" s="58"/>
      <c r="Q502" s="58"/>
      <c r="R502" s="58"/>
      <c r="S502" s="58"/>
    </row>
    <row r="503" spans="2:19" x14ac:dyDescent="0.15">
      <c r="B503" s="58"/>
      <c r="C503" s="58"/>
      <c r="D503" s="58"/>
      <c r="E503" s="58"/>
      <c r="F503" s="58"/>
      <c r="G503" s="58"/>
      <c r="H503" s="58"/>
      <c r="I503" s="58"/>
      <c r="J503" s="58"/>
      <c r="K503" s="58"/>
      <c r="L503" s="58"/>
      <c r="M503" s="58"/>
      <c r="N503" s="58"/>
      <c r="O503" s="58"/>
      <c r="P503" s="58"/>
      <c r="Q503" s="58"/>
      <c r="R503" s="58"/>
      <c r="S503" s="58"/>
    </row>
    <row r="504" spans="2:19" x14ac:dyDescent="0.15">
      <c r="B504" s="58"/>
      <c r="C504" s="58"/>
      <c r="D504" s="58"/>
      <c r="E504" s="58"/>
      <c r="F504" s="58"/>
      <c r="G504" s="58"/>
      <c r="H504" s="58"/>
      <c r="I504" s="58"/>
      <c r="J504" s="58"/>
      <c r="K504" s="58"/>
      <c r="L504" s="58"/>
      <c r="M504" s="58"/>
      <c r="N504" s="58"/>
      <c r="O504" s="58"/>
      <c r="P504" s="58"/>
      <c r="Q504" s="58"/>
      <c r="R504" s="58"/>
      <c r="S504" s="58"/>
    </row>
    <row r="505" spans="2:19" x14ac:dyDescent="0.15">
      <c r="B505" s="58"/>
      <c r="C505" s="58"/>
      <c r="D505" s="58"/>
      <c r="E505" s="58"/>
      <c r="F505" s="58"/>
      <c r="G505" s="58"/>
      <c r="H505" s="58"/>
      <c r="I505" s="58"/>
      <c r="J505" s="58"/>
      <c r="K505" s="58"/>
      <c r="L505" s="58"/>
      <c r="M505" s="58"/>
      <c r="N505" s="58"/>
      <c r="O505" s="58"/>
      <c r="P505" s="58"/>
      <c r="Q505" s="58"/>
      <c r="R505" s="58"/>
      <c r="S505" s="58"/>
    </row>
    <row r="506" spans="2:19" x14ac:dyDescent="0.15">
      <c r="B506" s="58"/>
      <c r="C506" s="58"/>
      <c r="D506" s="58"/>
      <c r="E506" s="58"/>
      <c r="F506" s="58"/>
      <c r="G506" s="58"/>
      <c r="H506" s="58"/>
      <c r="I506" s="58"/>
      <c r="J506" s="58"/>
      <c r="K506" s="58"/>
      <c r="L506" s="58"/>
      <c r="M506" s="58"/>
      <c r="N506" s="58"/>
      <c r="O506" s="58"/>
      <c r="P506" s="58"/>
      <c r="Q506" s="58"/>
      <c r="R506" s="58"/>
      <c r="S506" s="58"/>
    </row>
    <row r="507" spans="2:19" x14ac:dyDescent="0.15">
      <c r="B507" s="58"/>
      <c r="C507" s="58"/>
      <c r="D507" s="58"/>
      <c r="E507" s="58"/>
      <c r="F507" s="58"/>
      <c r="G507" s="58"/>
      <c r="H507" s="58"/>
      <c r="I507" s="58"/>
      <c r="J507" s="58"/>
      <c r="K507" s="58"/>
      <c r="L507" s="58"/>
      <c r="M507" s="58"/>
      <c r="N507" s="58"/>
      <c r="O507" s="58"/>
      <c r="P507" s="58"/>
      <c r="Q507" s="58"/>
      <c r="R507" s="58"/>
      <c r="S507" s="58"/>
    </row>
    <row r="508" spans="2:19" x14ac:dyDescent="0.15">
      <c r="B508" s="58"/>
      <c r="C508" s="58"/>
      <c r="D508" s="58"/>
      <c r="E508" s="58"/>
      <c r="F508" s="58"/>
      <c r="G508" s="58"/>
      <c r="H508" s="58"/>
      <c r="I508" s="58"/>
      <c r="J508" s="58"/>
      <c r="K508" s="58"/>
      <c r="L508" s="58"/>
      <c r="M508" s="58"/>
      <c r="N508" s="58"/>
      <c r="O508" s="58"/>
      <c r="P508" s="58"/>
      <c r="Q508" s="58"/>
      <c r="R508" s="58"/>
      <c r="S508" s="58"/>
    </row>
    <row r="509" spans="2:19" x14ac:dyDescent="0.15">
      <c r="B509" s="58"/>
      <c r="C509" s="58"/>
      <c r="D509" s="58"/>
      <c r="E509" s="58"/>
      <c r="F509" s="58"/>
      <c r="G509" s="58"/>
      <c r="H509" s="58"/>
      <c r="I509" s="58"/>
      <c r="J509" s="58"/>
      <c r="K509" s="58"/>
      <c r="L509" s="58"/>
      <c r="M509" s="58"/>
      <c r="N509" s="58"/>
      <c r="O509" s="58"/>
      <c r="P509" s="58"/>
      <c r="Q509" s="58"/>
      <c r="R509" s="58"/>
      <c r="S509" s="58"/>
    </row>
    <row r="510" spans="2:19" x14ac:dyDescent="0.15">
      <c r="B510" s="58"/>
      <c r="C510" s="58"/>
      <c r="D510" s="58"/>
      <c r="E510" s="58"/>
      <c r="F510" s="58"/>
      <c r="G510" s="58"/>
      <c r="H510" s="58"/>
      <c r="I510" s="58"/>
      <c r="J510" s="58"/>
      <c r="K510" s="58"/>
      <c r="L510" s="58"/>
      <c r="M510" s="58"/>
      <c r="N510" s="58"/>
      <c r="O510" s="58"/>
      <c r="P510" s="58"/>
      <c r="Q510" s="58"/>
      <c r="R510" s="58"/>
      <c r="S510" s="58"/>
    </row>
    <row r="511" spans="2:19" x14ac:dyDescent="0.15">
      <c r="B511" s="58"/>
      <c r="C511" s="58"/>
      <c r="D511" s="58"/>
      <c r="E511" s="58"/>
      <c r="F511" s="58"/>
      <c r="G511" s="58"/>
      <c r="H511" s="58"/>
      <c r="I511" s="58"/>
      <c r="J511" s="58"/>
      <c r="K511" s="58"/>
      <c r="L511" s="58"/>
      <c r="M511" s="58"/>
      <c r="N511" s="58"/>
      <c r="O511" s="58"/>
      <c r="P511" s="58"/>
      <c r="Q511" s="58"/>
      <c r="R511" s="58"/>
      <c r="S511" s="58"/>
    </row>
    <row r="512" spans="2:19" x14ac:dyDescent="0.15">
      <c r="B512" s="58"/>
      <c r="C512" s="58"/>
      <c r="D512" s="58"/>
      <c r="E512" s="58"/>
      <c r="F512" s="58"/>
      <c r="G512" s="58"/>
      <c r="H512" s="58"/>
      <c r="I512" s="58"/>
      <c r="J512" s="58"/>
      <c r="K512" s="58"/>
      <c r="L512" s="58"/>
      <c r="M512" s="58"/>
      <c r="N512" s="58"/>
      <c r="O512" s="58"/>
      <c r="P512" s="58"/>
      <c r="Q512" s="58"/>
      <c r="R512" s="58"/>
      <c r="S512" s="58"/>
    </row>
    <row r="513" spans="2:19" x14ac:dyDescent="0.15">
      <c r="B513" s="58"/>
      <c r="C513" s="58"/>
      <c r="D513" s="58"/>
      <c r="E513" s="58"/>
      <c r="F513" s="58"/>
      <c r="G513" s="58"/>
      <c r="H513" s="58"/>
      <c r="I513" s="58"/>
      <c r="J513" s="58"/>
      <c r="K513" s="58"/>
      <c r="L513" s="58"/>
      <c r="M513" s="58"/>
      <c r="N513" s="58"/>
      <c r="O513" s="58"/>
      <c r="P513" s="58"/>
      <c r="Q513" s="58"/>
      <c r="R513" s="58"/>
      <c r="S513" s="58"/>
    </row>
    <row r="514" spans="2:19" x14ac:dyDescent="0.15">
      <c r="B514" s="58"/>
      <c r="C514" s="58"/>
      <c r="D514" s="58"/>
      <c r="E514" s="58"/>
      <c r="F514" s="58"/>
      <c r="G514" s="58"/>
      <c r="H514" s="58"/>
      <c r="I514" s="58"/>
      <c r="J514" s="58"/>
      <c r="K514" s="58"/>
      <c r="L514" s="58"/>
      <c r="M514" s="58"/>
      <c r="N514" s="58"/>
      <c r="O514" s="58"/>
      <c r="P514" s="58"/>
      <c r="Q514" s="58"/>
      <c r="R514" s="58"/>
      <c r="S514" s="58"/>
    </row>
    <row r="515" spans="2:19" x14ac:dyDescent="0.15">
      <c r="B515" s="58"/>
      <c r="C515" s="58"/>
      <c r="D515" s="58"/>
      <c r="E515" s="58"/>
      <c r="F515" s="58"/>
      <c r="G515" s="58"/>
      <c r="H515" s="58"/>
      <c r="I515" s="58"/>
      <c r="J515" s="58"/>
      <c r="K515" s="58"/>
      <c r="L515" s="58"/>
      <c r="M515" s="58"/>
      <c r="N515" s="58"/>
      <c r="O515" s="58"/>
      <c r="P515" s="58"/>
      <c r="Q515" s="58"/>
      <c r="R515" s="58"/>
      <c r="S515" s="58"/>
    </row>
    <row r="516" spans="2:19" x14ac:dyDescent="0.15">
      <c r="B516" s="58"/>
      <c r="C516" s="58"/>
      <c r="D516" s="58"/>
      <c r="E516" s="58"/>
      <c r="F516" s="58"/>
      <c r="G516" s="58"/>
      <c r="H516" s="58"/>
      <c r="I516" s="58"/>
      <c r="J516" s="58"/>
      <c r="K516" s="58"/>
      <c r="L516" s="58"/>
      <c r="M516" s="58"/>
      <c r="N516" s="58"/>
      <c r="O516" s="58"/>
      <c r="P516" s="58"/>
      <c r="Q516" s="58"/>
      <c r="R516" s="58"/>
      <c r="S516" s="58"/>
    </row>
    <row r="517" spans="2:19" x14ac:dyDescent="0.15">
      <c r="B517" s="58"/>
      <c r="C517" s="58"/>
      <c r="D517" s="58"/>
      <c r="E517" s="58"/>
      <c r="F517" s="58"/>
      <c r="G517" s="58"/>
      <c r="H517" s="58"/>
      <c r="I517" s="58"/>
      <c r="J517" s="58"/>
      <c r="K517" s="58"/>
      <c r="L517" s="58"/>
      <c r="M517" s="58"/>
      <c r="N517" s="58"/>
      <c r="O517" s="58"/>
      <c r="P517" s="58"/>
      <c r="Q517" s="58"/>
      <c r="R517" s="58"/>
      <c r="S517" s="58"/>
    </row>
    <row r="518" spans="2:19" x14ac:dyDescent="0.15">
      <c r="B518" s="58"/>
      <c r="C518" s="58"/>
      <c r="D518" s="58"/>
      <c r="E518" s="58"/>
      <c r="F518" s="58"/>
      <c r="G518" s="58"/>
      <c r="H518" s="58"/>
      <c r="I518" s="58"/>
      <c r="J518" s="58"/>
      <c r="K518" s="58"/>
      <c r="L518" s="58"/>
      <c r="M518" s="58"/>
      <c r="N518" s="58"/>
      <c r="O518" s="58"/>
      <c r="P518" s="58"/>
      <c r="Q518" s="58"/>
      <c r="R518" s="58"/>
      <c r="S518" s="58"/>
    </row>
    <row r="519" spans="2:19" x14ac:dyDescent="0.15">
      <c r="B519" s="58"/>
      <c r="C519" s="58"/>
      <c r="D519" s="58"/>
      <c r="E519" s="58"/>
      <c r="F519" s="58"/>
      <c r="G519" s="58"/>
      <c r="H519" s="58"/>
      <c r="I519" s="58"/>
      <c r="J519" s="58"/>
      <c r="K519" s="58"/>
      <c r="L519" s="58"/>
      <c r="M519" s="58"/>
      <c r="N519" s="58"/>
      <c r="O519" s="58"/>
      <c r="P519" s="58"/>
      <c r="Q519" s="58"/>
      <c r="R519" s="58"/>
      <c r="S519" s="58"/>
    </row>
    <row r="520" spans="2:19" x14ac:dyDescent="0.15">
      <c r="B520" s="58"/>
      <c r="C520" s="58"/>
      <c r="D520" s="58"/>
      <c r="E520" s="58"/>
      <c r="F520" s="58"/>
      <c r="G520" s="58"/>
      <c r="H520" s="58"/>
      <c r="I520" s="58"/>
      <c r="J520" s="58"/>
      <c r="K520" s="58"/>
      <c r="L520" s="58"/>
      <c r="M520" s="58"/>
      <c r="N520" s="58"/>
      <c r="O520" s="58"/>
      <c r="P520" s="58"/>
      <c r="Q520" s="58"/>
      <c r="R520" s="58"/>
      <c r="S520" s="58"/>
    </row>
    <row r="521" spans="2:19" x14ac:dyDescent="0.15">
      <c r="B521" s="58"/>
      <c r="C521" s="58"/>
      <c r="D521" s="58"/>
      <c r="E521" s="58"/>
      <c r="F521" s="58"/>
      <c r="G521" s="58"/>
      <c r="H521" s="58"/>
      <c r="I521" s="58"/>
      <c r="J521" s="58"/>
      <c r="K521" s="58"/>
      <c r="L521" s="58"/>
      <c r="M521" s="58"/>
      <c r="N521" s="58"/>
      <c r="O521" s="58"/>
      <c r="P521" s="58"/>
      <c r="Q521" s="58"/>
      <c r="R521" s="58"/>
      <c r="S521" s="58"/>
    </row>
    <row r="522" spans="2:19" x14ac:dyDescent="0.15">
      <c r="B522" s="58"/>
      <c r="C522" s="58"/>
      <c r="D522" s="58"/>
      <c r="E522" s="58"/>
      <c r="F522" s="58"/>
      <c r="G522" s="58"/>
      <c r="H522" s="58"/>
      <c r="I522" s="58"/>
      <c r="J522" s="58"/>
      <c r="K522" s="58"/>
      <c r="L522" s="58"/>
      <c r="M522" s="58"/>
      <c r="N522" s="58"/>
      <c r="O522" s="58"/>
      <c r="P522" s="58"/>
      <c r="Q522" s="58"/>
      <c r="R522" s="58"/>
      <c r="S522" s="58"/>
    </row>
    <row r="523" spans="2:19" x14ac:dyDescent="0.15">
      <c r="B523" s="58"/>
      <c r="C523" s="58"/>
      <c r="D523" s="58"/>
      <c r="E523" s="58"/>
      <c r="F523" s="58"/>
      <c r="G523" s="58"/>
      <c r="H523" s="58"/>
      <c r="I523" s="58"/>
      <c r="J523" s="58"/>
      <c r="K523" s="58"/>
      <c r="L523" s="58"/>
      <c r="M523" s="58"/>
      <c r="N523" s="58"/>
      <c r="O523" s="58"/>
      <c r="P523" s="58"/>
      <c r="Q523" s="58"/>
      <c r="R523" s="58"/>
      <c r="S523" s="58"/>
    </row>
    <row r="524" spans="2:19" x14ac:dyDescent="0.15">
      <c r="B524" s="58"/>
      <c r="C524" s="58"/>
      <c r="D524" s="58"/>
      <c r="E524" s="58"/>
      <c r="F524" s="58"/>
      <c r="G524" s="58"/>
      <c r="H524" s="58"/>
      <c r="I524" s="58"/>
      <c r="J524" s="58"/>
      <c r="K524" s="58"/>
      <c r="L524" s="58"/>
      <c r="M524" s="58"/>
      <c r="N524" s="58"/>
      <c r="O524" s="58"/>
      <c r="P524" s="58"/>
      <c r="Q524" s="58"/>
      <c r="R524" s="58"/>
      <c r="S524" s="58"/>
    </row>
    <row r="525" spans="2:19" x14ac:dyDescent="0.15">
      <c r="B525" s="58"/>
      <c r="C525" s="58"/>
      <c r="D525" s="58"/>
      <c r="E525" s="58"/>
      <c r="F525" s="58"/>
      <c r="G525" s="58"/>
      <c r="H525" s="58"/>
      <c r="I525" s="58"/>
      <c r="J525" s="58"/>
      <c r="K525" s="58"/>
      <c r="L525" s="58"/>
      <c r="M525" s="58"/>
      <c r="N525" s="58"/>
      <c r="O525" s="58"/>
      <c r="P525" s="58"/>
      <c r="Q525" s="58"/>
      <c r="R525" s="58"/>
      <c r="S525" s="58"/>
    </row>
    <row r="526" spans="2:19" x14ac:dyDescent="0.15">
      <c r="B526" s="58"/>
      <c r="C526" s="58"/>
      <c r="D526" s="58"/>
      <c r="E526" s="58"/>
      <c r="F526" s="58"/>
      <c r="G526" s="58"/>
      <c r="H526" s="58"/>
      <c r="I526" s="58"/>
      <c r="J526" s="58"/>
      <c r="K526" s="58"/>
      <c r="L526" s="58"/>
      <c r="M526" s="58"/>
      <c r="N526" s="58"/>
      <c r="O526" s="58"/>
      <c r="P526" s="58"/>
      <c r="Q526" s="58"/>
      <c r="R526" s="58"/>
      <c r="S526" s="58"/>
    </row>
    <row r="527" spans="2:19" x14ac:dyDescent="0.15">
      <c r="B527" s="58"/>
      <c r="C527" s="58"/>
      <c r="D527" s="58"/>
      <c r="E527" s="58"/>
      <c r="F527" s="58"/>
      <c r="G527" s="58"/>
      <c r="H527" s="58"/>
      <c r="I527" s="58"/>
      <c r="J527" s="58"/>
      <c r="K527" s="58"/>
      <c r="L527" s="58"/>
      <c r="M527" s="58"/>
      <c r="N527" s="58"/>
      <c r="O527" s="58"/>
      <c r="P527" s="58"/>
      <c r="Q527" s="58"/>
      <c r="R527" s="58"/>
      <c r="S527" s="58"/>
    </row>
    <row r="528" spans="2:19" x14ac:dyDescent="0.15">
      <c r="B528" s="58"/>
      <c r="C528" s="58"/>
      <c r="D528" s="58"/>
      <c r="E528" s="58"/>
      <c r="F528" s="58"/>
      <c r="G528" s="58"/>
      <c r="H528" s="58"/>
      <c r="I528" s="58"/>
      <c r="J528" s="58"/>
      <c r="K528" s="58"/>
      <c r="L528" s="58"/>
      <c r="M528" s="58"/>
      <c r="N528" s="58"/>
      <c r="O528" s="58"/>
      <c r="P528" s="58"/>
      <c r="Q528" s="58"/>
      <c r="R528" s="58"/>
      <c r="S528" s="58"/>
    </row>
    <row r="529" spans="2:19" x14ac:dyDescent="0.15">
      <c r="B529" s="58"/>
      <c r="C529" s="58"/>
      <c r="D529" s="58"/>
      <c r="E529" s="58"/>
      <c r="F529" s="58"/>
      <c r="G529" s="58"/>
      <c r="H529" s="58"/>
      <c r="I529" s="58"/>
      <c r="J529" s="58"/>
      <c r="K529" s="58"/>
      <c r="L529" s="58"/>
      <c r="M529" s="58"/>
      <c r="N529" s="58"/>
      <c r="O529" s="58"/>
      <c r="P529" s="58"/>
      <c r="Q529" s="58"/>
      <c r="R529" s="58"/>
      <c r="S529" s="58"/>
    </row>
    <row r="530" spans="2:19" x14ac:dyDescent="0.15">
      <c r="B530" s="58"/>
      <c r="C530" s="58"/>
      <c r="D530" s="58"/>
      <c r="E530" s="58"/>
      <c r="F530" s="58"/>
      <c r="G530" s="58"/>
      <c r="H530" s="58"/>
      <c r="I530" s="58"/>
      <c r="J530" s="58"/>
      <c r="K530" s="58"/>
      <c r="L530" s="58"/>
      <c r="M530" s="58"/>
      <c r="N530" s="58"/>
      <c r="O530" s="58"/>
      <c r="P530" s="58"/>
      <c r="Q530" s="58"/>
      <c r="R530" s="58"/>
      <c r="S530" s="58"/>
    </row>
    <row r="531" spans="2:19" x14ac:dyDescent="0.15">
      <c r="B531" s="58"/>
      <c r="C531" s="58"/>
      <c r="D531" s="58"/>
      <c r="E531" s="58"/>
      <c r="F531" s="58"/>
      <c r="G531" s="58"/>
      <c r="H531" s="58"/>
      <c r="I531" s="58"/>
      <c r="J531" s="58"/>
      <c r="K531" s="58"/>
      <c r="L531" s="58"/>
      <c r="M531" s="58"/>
      <c r="N531" s="58"/>
      <c r="O531" s="58"/>
      <c r="P531" s="58"/>
      <c r="Q531" s="58"/>
      <c r="R531" s="58"/>
      <c r="S531" s="58"/>
    </row>
    <row r="532" spans="2:19" x14ac:dyDescent="0.15">
      <c r="B532" s="58"/>
      <c r="C532" s="58"/>
      <c r="D532" s="58"/>
      <c r="E532" s="58"/>
      <c r="F532" s="58"/>
      <c r="G532" s="58"/>
      <c r="H532" s="58"/>
      <c r="I532" s="58"/>
      <c r="J532" s="58"/>
      <c r="K532" s="58"/>
      <c r="L532" s="58"/>
      <c r="M532" s="58"/>
      <c r="N532" s="58"/>
      <c r="O532" s="58"/>
      <c r="P532" s="58"/>
      <c r="Q532" s="58"/>
      <c r="R532" s="58"/>
      <c r="S532" s="58"/>
    </row>
    <row r="533" spans="2:19" x14ac:dyDescent="0.15">
      <c r="B533" s="58"/>
      <c r="C533" s="58"/>
      <c r="D533" s="58"/>
      <c r="E533" s="58"/>
      <c r="F533" s="58"/>
      <c r="G533" s="58"/>
      <c r="H533" s="58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</row>
    <row r="534" spans="2:19" x14ac:dyDescent="0.15">
      <c r="B534" s="58"/>
      <c r="C534" s="58"/>
      <c r="D534" s="58"/>
      <c r="E534" s="58"/>
      <c r="F534" s="58"/>
      <c r="G534" s="58"/>
      <c r="H534" s="58"/>
      <c r="I534" s="58"/>
      <c r="J534" s="58"/>
      <c r="K534" s="58"/>
      <c r="L534" s="58"/>
      <c r="M534" s="58"/>
      <c r="N534" s="58"/>
      <c r="O534" s="58"/>
      <c r="P534" s="58"/>
      <c r="Q534" s="58"/>
      <c r="R534" s="58"/>
      <c r="S534" s="58"/>
    </row>
    <row r="535" spans="2:19" x14ac:dyDescent="0.15">
      <c r="B535" s="58"/>
      <c r="C535" s="58"/>
      <c r="D535" s="58"/>
      <c r="E535" s="58"/>
      <c r="F535" s="58"/>
      <c r="G535" s="58"/>
      <c r="H535" s="58"/>
      <c r="I535" s="58"/>
      <c r="J535" s="58"/>
      <c r="K535" s="58"/>
      <c r="L535" s="58"/>
      <c r="M535" s="58"/>
      <c r="N535" s="58"/>
      <c r="O535" s="58"/>
      <c r="P535" s="58"/>
      <c r="Q535" s="58"/>
      <c r="R535" s="58"/>
      <c r="S535" s="58"/>
    </row>
    <row r="536" spans="2:19" x14ac:dyDescent="0.15">
      <c r="B536" s="58"/>
      <c r="C536" s="58"/>
      <c r="D536" s="58"/>
      <c r="E536" s="58"/>
      <c r="F536" s="58"/>
      <c r="G536" s="58"/>
      <c r="H536" s="58"/>
      <c r="I536" s="58"/>
      <c r="J536" s="58"/>
      <c r="K536" s="58"/>
      <c r="L536" s="58"/>
      <c r="M536" s="58"/>
      <c r="N536" s="58"/>
      <c r="O536" s="58"/>
      <c r="P536" s="58"/>
      <c r="Q536" s="58"/>
      <c r="R536" s="58"/>
      <c r="S536" s="58"/>
    </row>
    <row r="537" spans="2:19" x14ac:dyDescent="0.15">
      <c r="B537" s="58"/>
      <c r="C537" s="58"/>
      <c r="D537" s="58"/>
      <c r="E537" s="58"/>
      <c r="F537" s="58"/>
      <c r="G537" s="58"/>
      <c r="H537" s="58"/>
      <c r="I537" s="58"/>
      <c r="J537" s="58"/>
      <c r="K537" s="58"/>
      <c r="L537" s="58"/>
      <c r="M537" s="58"/>
      <c r="N537" s="58"/>
      <c r="O537" s="58"/>
      <c r="P537" s="58"/>
      <c r="Q537" s="58"/>
      <c r="R537" s="58"/>
      <c r="S537" s="58"/>
    </row>
    <row r="538" spans="2:19" x14ac:dyDescent="0.15">
      <c r="B538" s="58"/>
      <c r="C538" s="58"/>
      <c r="D538" s="58"/>
      <c r="E538" s="58"/>
      <c r="F538" s="58"/>
      <c r="G538" s="58"/>
      <c r="H538" s="58"/>
      <c r="I538" s="58"/>
      <c r="J538" s="58"/>
      <c r="K538" s="58"/>
      <c r="L538" s="58"/>
      <c r="M538" s="58"/>
      <c r="N538" s="58"/>
      <c r="O538" s="58"/>
      <c r="P538" s="58"/>
      <c r="Q538" s="58"/>
      <c r="R538" s="58"/>
      <c r="S538" s="58"/>
    </row>
    <row r="539" spans="2:19" x14ac:dyDescent="0.15">
      <c r="B539" s="58"/>
      <c r="C539" s="58"/>
      <c r="D539" s="58"/>
      <c r="E539" s="58"/>
      <c r="F539" s="58"/>
      <c r="G539" s="58"/>
      <c r="H539" s="58"/>
      <c r="I539" s="58"/>
      <c r="J539" s="58"/>
      <c r="K539" s="58"/>
      <c r="L539" s="58"/>
      <c r="M539" s="58"/>
      <c r="N539" s="58"/>
      <c r="O539" s="58"/>
      <c r="P539" s="58"/>
      <c r="Q539" s="58"/>
      <c r="R539" s="58"/>
      <c r="S539" s="58"/>
    </row>
    <row r="540" spans="2:19" x14ac:dyDescent="0.15">
      <c r="B540" s="58"/>
      <c r="C540" s="58"/>
      <c r="D540" s="58"/>
      <c r="E540" s="58"/>
      <c r="F540" s="58"/>
      <c r="G540" s="58"/>
      <c r="H540" s="58"/>
      <c r="I540" s="58"/>
      <c r="J540" s="58"/>
      <c r="K540" s="58"/>
      <c r="L540" s="58"/>
      <c r="M540" s="58"/>
      <c r="N540" s="58"/>
      <c r="O540" s="58"/>
      <c r="P540" s="58"/>
      <c r="Q540" s="58"/>
      <c r="R540" s="58"/>
      <c r="S540" s="58"/>
    </row>
    <row r="541" spans="2:19" x14ac:dyDescent="0.15">
      <c r="B541" s="58"/>
      <c r="C541" s="58"/>
      <c r="D541" s="58"/>
      <c r="E541" s="58"/>
      <c r="F541" s="58"/>
      <c r="G541" s="58"/>
      <c r="H541" s="58"/>
      <c r="I541" s="58"/>
      <c r="J541" s="58"/>
      <c r="K541" s="58"/>
      <c r="L541" s="58"/>
      <c r="M541" s="58"/>
      <c r="N541" s="58"/>
      <c r="O541" s="58"/>
      <c r="P541" s="58"/>
      <c r="Q541" s="58"/>
      <c r="R541" s="58"/>
      <c r="S541" s="58"/>
    </row>
    <row r="542" spans="2:19" x14ac:dyDescent="0.15">
      <c r="B542" s="58"/>
      <c r="C542" s="58"/>
      <c r="D542" s="58"/>
      <c r="E542" s="58"/>
      <c r="F542" s="58"/>
      <c r="G542" s="58"/>
      <c r="H542" s="58"/>
      <c r="I542" s="58"/>
      <c r="J542" s="58"/>
      <c r="K542" s="58"/>
      <c r="L542" s="58"/>
      <c r="M542" s="58"/>
      <c r="N542" s="58"/>
      <c r="O542" s="58"/>
      <c r="P542" s="58"/>
      <c r="Q542" s="58"/>
      <c r="R542" s="58"/>
      <c r="S542" s="58"/>
    </row>
    <row r="543" spans="2:19" x14ac:dyDescent="0.15">
      <c r="B543" s="58"/>
      <c r="C543" s="58"/>
      <c r="D543" s="58"/>
      <c r="E543" s="58"/>
      <c r="F543" s="58"/>
      <c r="G543" s="58"/>
      <c r="H543" s="58"/>
      <c r="I543" s="58"/>
      <c r="J543" s="58"/>
      <c r="K543" s="58"/>
      <c r="L543" s="58"/>
      <c r="M543" s="58"/>
      <c r="N543" s="58"/>
      <c r="O543" s="58"/>
      <c r="P543" s="58"/>
      <c r="Q543" s="58"/>
      <c r="R543" s="58"/>
      <c r="S543" s="58"/>
    </row>
    <row r="544" spans="2:19" x14ac:dyDescent="0.15">
      <c r="B544" s="58"/>
      <c r="C544" s="58"/>
      <c r="D544" s="58"/>
      <c r="E544" s="58"/>
      <c r="F544" s="58"/>
      <c r="G544" s="58"/>
      <c r="H544" s="58"/>
      <c r="I544" s="58"/>
      <c r="J544" s="58"/>
      <c r="K544" s="58"/>
      <c r="L544" s="58"/>
      <c r="M544" s="58"/>
      <c r="N544" s="58"/>
      <c r="O544" s="58"/>
      <c r="P544" s="58"/>
      <c r="Q544" s="58"/>
      <c r="R544" s="58"/>
      <c r="S544" s="58"/>
    </row>
    <row r="545" spans="2:19" x14ac:dyDescent="0.15">
      <c r="B545" s="58"/>
      <c r="C545" s="58"/>
      <c r="D545" s="58"/>
      <c r="E545" s="58"/>
      <c r="F545" s="58"/>
      <c r="G545" s="58"/>
      <c r="H545" s="58"/>
      <c r="I545" s="58"/>
      <c r="J545" s="58"/>
      <c r="K545" s="58"/>
      <c r="L545" s="58"/>
      <c r="M545" s="58"/>
      <c r="N545" s="58"/>
      <c r="O545" s="58"/>
      <c r="P545" s="58"/>
      <c r="Q545" s="58"/>
      <c r="R545" s="58"/>
      <c r="S545" s="58"/>
    </row>
    <row r="546" spans="2:19" x14ac:dyDescent="0.15">
      <c r="B546" s="58"/>
      <c r="C546" s="58"/>
      <c r="D546" s="58"/>
      <c r="E546" s="58"/>
      <c r="F546" s="58"/>
      <c r="G546" s="58"/>
      <c r="H546" s="58"/>
      <c r="I546" s="58"/>
      <c r="J546" s="58"/>
      <c r="K546" s="58"/>
      <c r="L546" s="58"/>
      <c r="M546" s="58"/>
      <c r="N546" s="58"/>
      <c r="O546" s="58"/>
      <c r="P546" s="58"/>
      <c r="Q546" s="58"/>
      <c r="R546" s="58"/>
      <c r="S546" s="58"/>
    </row>
    <row r="547" spans="2:19" x14ac:dyDescent="0.15">
      <c r="B547" s="58"/>
      <c r="C547" s="58"/>
      <c r="D547" s="58"/>
      <c r="E547" s="58"/>
      <c r="F547" s="58"/>
      <c r="G547" s="58"/>
      <c r="H547" s="58"/>
      <c r="I547" s="58"/>
      <c r="J547" s="58"/>
      <c r="K547" s="58"/>
      <c r="L547" s="58"/>
      <c r="M547" s="58"/>
      <c r="N547" s="58"/>
      <c r="O547" s="58"/>
      <c r="P547" s="58"/>
      <c r="Q547" s="58"/>
      <c r="R547" s="58"/>
      <c r="S547" s="58"/>
    </row>
    <row r="548" spans="2:19" x14ac:dyDescent="0.15">
      <c r="B548" s="58"/>
      <c r="C548" s="58"/>
      <c r="D548" s="58"/>
      <c r="E548" s="58"/>
      <c r="F548" s="58"/>
      <c r="G548" s="58"/>
      <c r="H548" s="58"/>
      <c r="I548" s="58"/>
      <c r="J548" s="58"/>
      <c r="K548" s="58"/>
      <c r="L548" s="58"/>
      <c r="M548" s="58"/>
      <c r="N548" s="58"/>
      <c r="O548" s="58"/>
      <c r="P548" s="58"/>
      <c r="Q548" s="58"/>
      <c r="R548" s="58"/>
      <c r="S548" s="58"/>
    </row>
    <row r="549" spans="2:19" x14ac:dyDescent="0.15">
      <c r="B549" s="58"/>
      <c r="C549" s="58"/>
      <c r="D549" s="58"/>
      <c r="E549" s="58"/>
      <c r="F549" s="58"/>
      <c r="G549" s="58"/>
      <c r="H549" s="58"/>
      <c r="I549" s="58"/>
      <c r="J549" s="58"/>
      <c r="K549" s="58"/>
      <c r="L549" s="58"/>
      <c r="M549" s="58"/>
      <c r="N549" s="58"/>
      <c r="O549" s="58"/>
      <c r="P549" s="58"/>
      <c r="Q549" s="58"/>
      <c r="R549" s="58"/>
      <c r="S549" s="58"/>
    </row>
    <row r="550" spans="2:19" x14ac:dyDescent="0.15">
      <c r="B550" s="58"/>
      <c r="C550" s="58"/>
      <c r="D550" s="58"/>
      <c r="E550" s="58"/>
      <c r="F550" s="58"/>
      <c r="G550" s="58"/>
      <c r="H550" s="58"/>
      <c r="I550" s="58"/>
      <c r="J550" s="58"/>
      <c r="K550" s="58"/>
      <c r="L550" s="58"/>
      <c r="M550" s="58"/>
      <c r="N550" s="58"/>
      <c r="O550" s="58"/>
      <c r="P550" s="58"/>
      <c r="Q550" s="58"/>
      <c r="R550" s="58"/>
      <c r="S550" s="58"/>
    </row>
    <row r="551" spans="2:19" x14ac:dyDescent="0.15">
      <c r="B551" s="58"/>
      <c r="C551" s="58"/>
      <c r="D551" s="58"/>
      <c r="E551" s="58"/>
      <c r="F551" s="58"/>
      <c r="G551" s="58"/>
      <c r="H551" s="58"/>
      <c r="I551" s="58"/>
      <c r="J551" s="58"/>
      <c r="K551" s="58"/>
      <c r="L551" s="58"/>
      <c r="M551" s="58"/>
      <c r="N551" s="58"/>
      <c r="O551" s="58"/>
      <c r="P551" s="58"/>
      <c r="Q551" s="58"/>
      <c r="R551" s="58"/>
      <c r="S551" s="58"/>
    </row>
    <row r="552" spans="2:19" x14ac:dyDescent="0.15">
      <c r="B552" s="58"/>
      <c r="C552" s="58"/>
      <c r="D552" s="58"/>
      <c r="E552" s="58"/>
      <c r="F552" s="58"/>
      <c r="G552" s="58"/>
      <c r="H552" s="58"/>
      <c r="I552" s="58"/>
      <c r="J552" s="58"/>
      <c r="K552" s="58"/>
      <c r="L552" s="58"/>
      <c r="M552" s="58"/>
      <c r="N552" s="58"/>
      <c r="O552" s="58"/>
      <c r="P552" s="58"/>
      <c r="Q552" s="58"/>
      <c r="R552" s="58"/>
      <c r="S552" s="58"/>
    </row>
    <row r="553" spans="2:19" x14ac:dyDescent="0.15">
      <c r="B553" s="58"/>
      <c r="C553" s="58"/>
      <c r="D553" s="58"/>
      <c r="E553" s="58"/>
      <c r="F553" s="58"/>
      <c r="G553" s="58"/>
      <c r="H553" s="58"/>
      <c r="I553" s="58"/>
      <c r="J553" s="58"/>
      <c r="K553" s="58"/>
      <c r="L553" s="58"/>
      <c r="M553" s="58"/>
      <c r="N553" s="58"/>
      <c r="O553" s="58"/>
      <c r="P553" s="58"/>
      <c r="Q553" s="58"/>
      <c r="R553" s="58"/>
      <c r="S553" s="58"/>
    </row>
    <row r="554" spans="2:19" x14ac:dyDescent="0.15">
      <c r="B554" s="58"/>
      <c r="C554" s="58"/>
      <c r="D554" s="58"/>
      <c r="E554" s="58"/>
      <c r="F554" s="58"/>
      <c r="G554" s="58"/>
      <c r="H554" s="58"/>
      <c r="I554" s="58"/>
      <c r="J554" s="58"/>
      <c r="K554" s="58"/>
      <c r="L554" s="58"/>
      <c r="M554" s="58"/>
      <c r="N554" s="58"/>
      <c r="O554" s="58"/>
      <c r="P554" s="58"/>
      <c r="Q554" s="58"/>
      <c r="R554" s="58"/>
      <c r="S554" s="58"/>
    </row>
    <row r="555" spans="2:19" x14ac:dyDescent="0.15">
      <c r="B555" s="58"/>
      <c r="C555" s="58"/>
      <c r="D555" s="58"/>
      <c r="E555" s="58"/>
      <c r="F555" s="58"/>
      <c r="G555" s="58"/>
      <c r="H555" s="58"/>
      <c r="I555" s="58"/>
      <c r="J555" s="58"/>
      <c r="K555" s="58"/>
      <c r="L555" s="58"/>
      <c r="M555" s="58"/>
      <c r="N555" s="58"/>
      <c r="O555" s="58"/>
      <c r="P555" s="58"/>
      <c r="Q555" s="58"/>
      <c r="R555" s="58"/>
      <c r="S555" s="58"/>
    </row>
    <row r="556" spans="2:19" x14ac:dyDescent="0.15">
      <c r="B556" s="58"/>
      <c r="C556" s="58"/>
      <c r="D556" s="58"/>
      <c r="E556" s="58"/>
      <c r="F556" s="58"/>
      <c r="G556" s="58"/>
      <c r="H556" s="58"/>
      <c r="I556" s="58"/>
      <c r="J556" s="58"/>
      <c r="K556" s="58"/>
      <c r="L556" s="58"/>
      <c r="M556" s="58"/>
      <c r="N556" s="58"/>
      <c r="O556" s="58"/>
      <c r="P556" s="58"/>
      <c r="Q556" s="58"/>
      <c r="R556" s="58"/>
      <c r="S556" s="58"/>
    </row>
    <row r="557" spans="2:19" x14ac:dyDescent="0.15">
      <c r="B557" s="58"/>
      <c r="C557" s="58"/>
      <c r="D557" s="58"/>
      <c r="E557" s="58"/>
      <c r="F557" s="58"/>
      <c r="G557" s="58"/>
      <c r="H557" s="58"/>
      <c r="I557" s="58"/>
      <c r="J557" s="58"/>
      <c r="K557" s="58"/>
      <c r="L557" s="58"/>
      <c r="M557" s="58"/>
      <c r="N557" s="58"/>
      <c r="O557" s="58"/>
      <c r="P557" s="58"/>
      <c r="Q557" s="58"/>
      <c r="R557" s="58"/>
      <c r="S557" s="58"/>
    </row>
    <row r="558" spans="2:19" x14ac:dyDescent="0.15">
      <c r="B558" s="58"/>
      <c r="C558" s="58"/>
      <c r="D558" s="58"/>
      <c r="E558" s="58"/>
      <c r="F558" s="58"/>
      <c r="G558" s="58"/>
      <c r="H558" s="58"/>
      <c r="I558" s="58"/>
      <c r="J558" s="58"/>
      <c r="K558" s="58"/>
      <c r="L558" s="58"/>
      <c r="M558" s="58"/>
      <c r="N558" s="58"/>
      <c r="O558" s="58"/>
      <c r="P558" s="58"/>
      <c r="Q558" s="58"/>
      <c r="R558" s="58"/>
      <c r="S558" s="58"/>
    </row>
    <row r="559" spans="2:19" x14ac:dyDescent="0.15">
      <c r="B559" s="58"/>
      <c r="C559" s="58"/>
      <c r="D559" s="58"/>
      <c r="E559" s="58"/>
      <c r="F559" s="58"/>
      <c r="G559" s="58"/>
      <c r="H559" s="58"/>
      <c r="I559" s="58"/>
      <c r="J559" s="58"/>
      <c r="K559" s="58"/>
      <c r="L559" s="58"/>
      <c r="M559" s="58"/>
      <c r="N559" s="58"/>
      <c r="O559" s="58"/>
      <c r="P559" s="58"/>
      <c r="Q559" s="58"/>
      <c r="R559" s="58"/>
      <c r="S559" s="58"/>
    </row>
    <row r="560" spans="2:19" x14ac:dyDescent="0.15">
      <c r="B560" s="58"/>
      <c r="C560" s="58"/>
      <c r="D560" s="58"/>
      <c r="E560" s="58"/>
      <c r="F560" s="58"/>
      <c r="G560" s="58"/>
      <c r="H560" s="58"/>
      <c r="I560" s="58"/>
      <c r="J560" s="58"/>
      <c r="K560" s="58"/>
      <c r="L560" s="58"/>
      <c r="M560" s="58"/>
      <c r="N560" s="58"/>
      <c r="O560" s="58"/>
      <c r="P560" s="58"/>
      <c r="Q560" s="58"/>
      <c r="R560" s="58"/>
      <c r="S560" s="58"/>
    </row>
    <row r="561" spans="2:19" x14ac:dyDescent="0.15">
      <c r="B561" s="58"/>
      <c r="C561" s="58"/>
      <c r="D561" s="58"/>
      <c r="E561" s="58"/>
      <c r="F561" s="58"/>
      <c r="G561" s="58"/>
      <c r="H561" s="58"/>
      <c r="I561" s="58"/>
      <c r="J561" s="58"/>
      <c r="K561" s="58"/>
      <c r="L561" s="58"/>
      <c r="M561" s="58"/>
      <c r="N561" s="58"/>
      <c r="O561" s="58"/>
      <c r="P561" s="58"/>
      <c r="Q561" s="58"/>
      <c r="R561" s="58"/>
      <c r="S561" s="58"/>
    </row>
    <row r="562" spans="2:19" x14ac:dyDescent="0.15">
      <c r="B562" s="58"/>
      <c r="C562" s="58"/>
      <c r="D562" s="58"/>
      <c r="E562" s="58"/>
      <c r="F562" s="58"/>
      <c r="G562" s="58"/>
      <c r="H562" s="58"/>
      <c r="I562" s="58"/>
      <c r="J562" s="58"/>
      <c r="K562" s="58"/>
      <c r="L562" s="58"/>
      <c r="M562" s="58"/>
      <c r="N562" s="58"/>
      <c r="O562" s="58"/>
      <c r="P562" s="58"/>
      <c r="Q562" s="58"/>
      <c r="R562" s="58"/>
      <c r="S562" s="58"/>
    </row>
    <row r="563" spans="2:19" x14ac:dyDescent="0.15">
      <c r="B563" s="58"/>
      <c r="C563" s="58"/>
      <c r="D563" s="58"/>
      <c r="E563" s="58"/>
      <c r="F563" s="58"/>
      <c r="G563" s="58"/>
      <c r="H563" s="58"/>
      <c r="I563" s="58"/>
      <c r="J563" s="58"/>
      <c r="K563" s="58"/>
      <c r="L563" s="58"/>
      <c r="M563" s="58"/>
      <c r="N563" s="58"/>
      <c r="O563" s="58"/>
      <c r="P563" s="58"/>
      <c r="Q563" s="58"/>
      <c r="R563" s="58"/>
      <c r="S563" s="58"/>
    </row>
    <row r="564" spans="2:19" x14ac:dyDescent="0.15">
      <c r="B564" s="58"/>
      <c r="C564" s="58"/>
      <c r="D564" s="58"/>
      <c r="E564" s="58"/>
      <c r="F564" s="58"/>
      <c r="G564" s="58"/>
      <c r="H564" s="58"/>
      <c r="I564" s="58"/>
      <c r="J564" s="58"/>
      <c r="K564" s="58"/>
      <c r="L564" s="58"/>
      <c r="M564" s="58"/>
      <c r="N564" s="58"/>
      <c r="O564" s="58"/>
      <c r="P564" s="58"/>
      <c r="Q564" s="58"/>
      <c r="R564" s="58"/>
      <c r="S564" s="58"/>
    </row>
    <row r="565" spans="2:19" x14ac:dyDescent="0.15">
      <c r="B565" s="58"/>
      <c r="C565" s="58"/>
      <c r="D565" s="58"/>
      <c r="E565" s="58"/>
      <c r="F565" s="58"/>
      <c r="G565" s="58"/>
      <c r="H565" s="58"/>
      <c r="I565" s="58"/>
      <c r="J565" s="58"/>
      <c r="K565" s="58"/>
      <c r="L565" s="58"/>
      <c r="M565" s="58"/>
      <c r="N565" s="58"/>
      <c r="O565" s="58"/>
      <c r="P565" s="58"/>
      <c r="Q565" s="58"/>
      <c r="R565" s="58"/>
      <c r="S565" s="58"/>
    </row>
    <row r="566" spans="2:19" x14ac:dyDescent="0.15">
      <c r="B566" s="58"/>
      <c r="C566" s="58"/>
      <c r="D566" s="58"/>
      <c r="E566" s="58"/>
      <c r="F566" s="58"/>
      <c r="G566" s="58"/>
      <c r="H566" s="58"/>
      <c r="I566" s="58"/>
      <c r="J566" s="58"/>
      <c r="K566" s="58"/>
      <c r="L566" s="58"/>
      <c r="M566" s="58"/>
      <c r="N566" s="58"/>
      <c r="O566" s="58"/>
      <c r="P566" s="58"/>
      <c r="Q566" s="58"/>
      <c r="R566" s="58"/>
      <c r="S566" s="58"/>
    </row>
    <row r="567" spans="2:19" x14ac:dyDescent="0.15">
      <c r="B567" s="58"/>
      <c r="C567" s="58"/>
      <c r="D567" s="58"/>
      <c r="E567" s="58"/>
      <c r="F567" s="58"/>
      <c r="G567" s="58"/>
      <c r="H567" s="58"/>
      <c r="I567" s="58"/>
      <c r="J567" s="58"/>
      <c r="K567" s="58"/>
      <c r="L567" s="58"/>
      <c r="M567" s="58"/>
      <c r="N567" s="58"/>
      <c r="O567" s="58"/>
      <c r="P567" s="58"/>
      <c r="Q567" s="58"/>
      <c r="R567" s="58"/>
      <c r="S567" s="58"/>
    </row>
    <row r="568" spans="2:19" x14ac:dyDescent="0.15">
      <c r="B568" s="58"/>
      <c r="C568" s="58"/>
      <c r="D568" s="58"/>
      <c r="E568" s="58"/>
      <c r="F568" s="58"/>
      <c r="G568" s="58"/>
      <c r="H568" s="58"/>
      <c r="I568" s="58"/>
      <c r="J568" s="58"/>
      <c r="K568" s="58"/>
      <c r="L568" s="58"/>
      <c r="M568" s="58"/>
      <c r="N568" s="58"/>
      <c r="O568" s="58"/>
      <c r="P568" s="58"/>
      <c r="Q568" s="58"/>
      <c r="R568" s="58"/>
      <c r="S568" s="58"/>
    </row>
    <row r="569" spans="2:19" x14ac:dyDescent="0.15">
      <c r="B569" s="58"/>
      <c r="C569" s="58"/>
      <c r="D569" s="58"/>
      <c r="E569" s="58"/>
      <c r="F569" s="58"/>
      <c r="G569" s="58"/>
      <c r="H569" s="58"/>
      <c r="I569" s="58"/>
      <c r="J569" s="58"/>
      <c r="K569" s="58"/>
      <c r="L569" s="58"/>
      <c r="M569" s="58"/>
      <c r="N569" s="58"/>
      <c r="O569" s="58"/>
      <c r="P569" s="58"/>
      <c r="Q569" s="58"/>
      <c r="R569" s="58"/>
      <c r="S569" s="58"/>
    </row>
    <row r="570" spans="2:19" x14ac:dyDescent="0.15">
      <c r="B570" s="58"/>
      <c r="C570" s="58"/>
      <c r="D570" s="58"/>
      <c r="E570" s="58"/>
      <c r="F570" s="58"/>
      <c r="G570" s="58"/>
      <c r="H570" s="58"/>
      <c r="I570" s="58"/>
      <c r="J570" s="58"/>
      <c r="K570" s="58"/>
      <c r="L570" s="58"/>
      <c r="M570" s="58"/>
      <c r="N570" s="58"/>
      <c r="O570" s="58"/>
      <c r="P570" s="58"/>
      <c r="Q570" s="58"/>
      <c r="R570" s="58"/>
      <c r="S570" s="58"/>
    </row>
    <row r="571" spans="2:19" x14ac:dyDescent="0.15">
      <c r="B571" s="58"/>
      <c r="C571" s="58"/>
      <c r="D571" s="58"/>
      <c r="E571" s="58"/>
      <c r="F571" s="58"/>
      <c r="G571" s="58"/>
      <c r="H571" s="58"/>
      <c r="I571" s="58"/>
      <c r="J571" s="58"/>
      <c r="K571" s="58"/>
      <c r="L571" s="58"/>
      <c r="M571" s="58"/>
      <c r="N571" s="58"/>
      <c r="O571" s="58"/>
      <c r="P571" s="58"/>
      <c r="Q571" s="58"/>
      <c r="R571" s="58"/>
      <c r="S571" s="58"/>
    </row>
    <row r="572" spans="2:19" x14ac:dyDescent="0.15">
      <c r="B572" s="58"/>
      <c r="C572" s="58"/>
      <c r="D572" s="58"/>
      <c r="E572" s="58"/>
      <c r="F572" s="58"/>
      <c r="G572" s="58"/>
      <c r="H572" s="58"/>
      <c r="I572" s="58"/>
      <c r="J572" s="58"/>
      <c r="K572" s="58"/>
      <c r="L572" s="58"/>
      <c r="M572" s="58"/>
      <c r="N572" s="58"/>
      <c r="O572" s="58"/>
      <c r="P572" s="58"/>
      <c r="Q572" s="58"/>
      <c r="R572" s="58"/>
      <c r="S572" s="58"/>
    </row>
    <row r="573" spans="2:19" x14ac:dyDescent="0.15">
      <c r="B573" s="58"/>
      <c r="C573" s="58"/>
      <c r="D573" s="58"/>
      <c r="E573" s="58"/>
      <c r="F573" s="58"/>
      <c r="G573" s="58"/>
      <c r="H573" s="58"/>
      <c r="I573" s="58"/>
      <c r="J573" s="58"/>
      <c r="K573" s="58"/>
      <c r="L573" s="58"/>
      <c r="M573" s="58"/>
      <c r="N573" s="58"/>
      <c r="O573" s="58"/>
      <c r="P573" s="58"/>
      <c r="Q573" s="58"/>
      <c r="R573" s="58"/>
      <c r="S573" s="58"/>
    </row>
    <row r="574" spans="2:19" x14ac:dyDescent="0.15">
      <c r="B574" s="58"/>
      <c r="C574" s="58"/>
      <c r="D574" s="58"/>
      <c r="E574" s="58"/>
      <c r="F574" s="58"/>
      <c r="G574" s="58"/>
      <c r="H574" s="58"/>
      <c r="I574" s="58"/>
      <c r="J574" s="58"/>
      <c r="K574" s="58"/>
      <c r="L574" s="58"/>
      <c r="M574" s="58"/>
      <c r="N574" s="58"/>
      <c r="O574" s="58"/>
      <c r="P574" s="58"/>
      <c r="Q574" s="58"/>
      <c r="R574" s="58"/>
      <c r="S574" s="58"/>
    </row>
    <row r="575" spans="2:19" x14ac:dyDescent="0.15">
      <c r="B575" s="58"/>
      <c r="C575" s="58"/>
      <c r="D575" s="58"/>
      <c r="E575" s="58"/>
      <c r="F575" s="58"/>
      <c r="G575" s="58"/>
      <c r="H575" s="58"/>
      <c r="I575" s="58"/>
      <c r="J575" s="58"/>
      <c r="K575" s="58"/>
      <c r="L575" s="58"/>
      <c r="M575" s="58"/>
      <c r="N575" s="58"/>
      <c r="O575" s="58"/>
      <c r="P575" s="58"/>
      <c r="Q575" s="58"/>
      <c r="R575" s="58"/>
      <c r="S575" s="58"/>
    </row>
    <row r="576" spans="2:19" x14ac:dyDescent="0.15">
      <c r="B576" s="58"/>
      <c r="C576" s="58"/>
      <c r="D576" s="58"/>
      <c r="E576" s="58"/>
      <c r="F576" s="58"/>
      <c r="G576" s="58"/>
      <c r="H576" s="58"/>
      <c r="I576" s="58"/>
      <c r="J576" s="58"/>
      <c r="K576" s="58"/>
      <c r="L576" s="58"/>
      <c r="M576" s="58"/>
      <c r="N576" s="58"/>
      <c r="O576" s="58"/>
      <c r="P576" s="58"/>
      <c r="Q576" s="58"/>
      <c r="R576" s="58"/>
      <c r="S576" s="58"/>
    </row>
    <row r="577" spans="2:19" x14ac:dyDescent="0.15">
      <c r="B577" s="58"/>
      <c r="C577" s="58"/>
      <c r="D577" s="58"/>
      <c r="E577" s="58"/>
      <c r="F577" s="58"/>
      <c r="G577" s="58"/>
      <c r="H577" s="58"/>
      <c r="I577" s="58"/>
      <c r="J577" s="58"/>
      <c r="K577" s="58"/>
      <c r="L577" s="58"/>
      <c r="M577" s="58"/>
      <c r="N577" s="58"/>
      <c r="O577" s="58"/>
      <c r="P577" s="58"/>
      <c r="Q577" s="58"/>
      <c r="R577" s="58"/>
      <c r="S577" s="58"/>
    </row>
    <row r="578" spans="2:19" x14ac:dyDescent="0.15">
      <c r="B578" s="58"/>
      <c r="C578" s="58"/>
      <c r="D578" s="58"/>
      <c r="E578" s="58"/>
      <c r="F578" s="58"/>
      <c r="G578" s="58"/>
      <c r="H578" s="58"/>
      <c r="I578" s="58"/>
      <c r="J578" s="58"/>
      <c r="K578" s="58"/>
      <c r="L578" s="58"/>
      <c r="M578" s="58"/>
      <c r="N578" s="58"/>
      <c r="O578" s="58"/>
      <c r="P578" s="58"/>
      <c r="Q578" s="58"/>
      <c r="R578" s="58"/>
      <c r="S578" s="58"/>
    </row>
    <row r="579" spans="2:19" x14ac:dyDescent="0.15">
      <c r="B579" s="58"/>
      <c r="C579" s="58"/>
      <c r="D579" s="58"/>
      <c r="E579" s="58"/>
      <c r="F579" s="58"/>
      <c r="G579" s="58"/>
      <c r="H579" s="58"/>
      <c r="I579" s="58"/>
      <c r="J579" s="58"/>
      <c r="K579" s="58"/>
      <c r="L579" s="58"/>
      <c r="M579" s="58"/>
      <c r="N579" s="58"/>
      <c r="O579" s="58"/>
      <c r="P579" s="58"/>
      <c r="Q579" s="58"/>
      <c r="R579" s="58"/>
      <c r="S579" s="58"/>
    </row>
    <row r="580" spans="2:19" x14ac:dyDescent="0.15">
      <c r="B580" s="58"/>
      <c r="C580" s="58"/>
      <c r="D580" s="58"/>
      <c r="E580" s="58"/>
      <c r="F580" s="58"/>
      <c r="G580" s="58"/>
      <c r="H580" s="58"/>
      <c r="I580" s="58"/>
      <c r="J580" s="58"/>
      <c r="K580" s="58"/>
      <c r="L580" s="58"/>
      <c r="M580" s="58"/>
      <c r="N580" s="58"/>
      <c r="O580" s="58"/>
      <c r="P580" s="58"/>
      <c r="Q580" s="58"/>
      <c r="R580" s="58"/>
      <c r="S580" s="58"/>
    </row>
    <row r="581" spans="2:19" x14ac:dyDescent="0.15">
      <c r="B581" s="58"/>
      <c r="C581" s="58"/>
      <c r="D581" s="58"/>
      <c r="E581" s="58"/>
      <c r="F581" s="58"/>
      <c r="G581" s="58"/>
      <c r="H581" s="58"/>
      <c r="I581" s="58"/>
      <c r="J581" s="58"/>
      <c r="K581" s="58"/>
      <c r="L581" s="58"/>
      <c r="M581" s="58"/>
      <c r="N581" s="58"/>
      <c r="O581" s="58"/>
      <c r="P581" s="58"/>
      <c r="Q581" s="58"/>
      <c r="R581" s="58"/>
      <c r="S581" s="58"/>
    </row>
    <row r="582" spans="2:19" x14ac:dyDescent="0.15">
      <c r="B582" s="58"/>
      <c r="C582" s="58"/>
      <c r="D582" s="58"/>
      <c r="E582" s="58"/>
      <c r="F582" s="58"/>
      <c r="G582" s="58"/>
      <c r="H582" s="58"/>
      <c r="I582" s="58"/>
      <c r="J582" s="58"/>
      <c r="K582" s="58"/>
      <c r="L582" s="58"/>
      <c r="M582" s="58"/>
      <c r="N582" s="58"/>
      <c r="O582" s="58"/>
      <c r="P582" s="58"/>
      <c r="Q582" s="58"/>
      <c r="R582" s="58"/>
      <c r="S582" s="58"/>
    </row>
    <row r="583" spans="2:19" x14ac:dyDescent="0.15">
      <c r="B583" s="58"/>
      <c r="C583" s="58"/>
      <c r="D583" s="58"/>
      <c r="E583" s="58"/>
      <c r="F583" s="58"/>
      <c r="G583" s="58"/>
      <c r="H583" s="58"/>
      <c r="I583" s="58"/>
      <c r="J583" s="58"/>
      <c r="K583" s="58"/>
      <c r="L583" s="58"/>
      <c r="M583" s="58"/>
      <c r="N583" s="58"/>
      <c r="O583" s="58"/>
      <c r="P583" s="58"/>
      <c r="Q583" s="58"/>
      <c r="R583" s="58"/>
      <c r="S583" s="58"/>
    </row>
    <row r="584" spans="2:19" x14ac:dyDescent="0.15">
      <c r="B584" s="58"/>
      <c r="C584" s="58"/>
      <c r="D584" s="58"/>
      <c r="E584" s="58"/>
      <c r="F584" s="58"/>
      <c r="G584" s="58"/>
      <c r="H584" s="58"/>
      <c r="I584" s="58"/>
      <c r="J584" s="58"/>
      <c r="K584" s="58"/>
      <c r="L584" s="58"/>
      <c r="M584" s="58"/>
      <c r="N584" s="58"/>
      <c r="O584" s="58"/>
      <c r="P584" s="58"/>
      <c r="Q584" s="58"/>
      <c r="R584" s="58"/>
      <c r="S584" s="58"/>
    </row>
    <row r="585" spans="2:19" x14ac:dyDescent="0.15">
      <c r="B585" s="58"/>
      <c r="C585" s="58"/>
      <c r="D585" s="58"/>
      <c r="E585" s="58"/>
      <c r="F585" s="58"/>
      <c r="G585" s="58"/>
      <c r="H585" s="58"/>
      <c r="I585" s="58"/>
      <c r="J585" s="58"/>
      <c r="K585" s="58"/>
      <c r="L585" s="58"/>
      <c r="M585" s="58"/>
      <c r="N585" s="58"/>
      <c r="O585" s="58"/>
      <c r="P585" s="58"/>
      <c r="Q585" s="58"/>
      <c r="R585" s="58"/>
      <c r="S585" s="58"/>
    </row>
    <row r="586" spans="2:19" x14ac:dyDescent="0.15">
      <c r="B586" s="58"/>
      <c r="C586" s="58"/>
      <c r="D586" s="58"/>
      <c r="E586" s="58"/>
      <c r="F586" s="58"/>
      <c r="G586" s="58"/>
      <c r="H586" s="58"/>
      <c r="I586" s="58"/>
      <c r="J586" s="58"/>
      <c r="K586" s="58"/>
      <c r="L586" s="58"/>
      <c r="M586" s="58"/>
      <c r="N586" s="58"/>
      <c r="O586" s="58"/>
      <c r="P586" s="58"/>
      <c r="Q586" s="58"/>
      <c r="R586" s="58"/>
      <c r="S586" s="58"/>
    </row>
    <row r="587" spans="2:19" x14ac:dyDescent="0.15">
      <c r="B587" s="58"/>
      <c r="C587" s="58"/>
      <c r="D587" s="58"/>
      <c r="E587" s="58"/>
      <c r="F587" s="58"/>
      <c r="G587" s="58"/>
      <c r="H587" s="58"/>
      <c r="I587" s="58"/>
      <c r="J587" s="58"/>
      <c r="K587" s="58"/>
      <c r="L587" s="58"/>
      <c r="M587" s="58"/>
      <c r="N587" s="58"/>
      <c r="O587" s="58"/>
      <c r="P587" s="58"/>
      <c r="Q587" s="58"/>
      <c r="R587" s="58"/>
      <c r="S587" s="58"/>
    </row>
    <row r="588" spans="2:19" x14ac:dyDescent="0.15">
      <c r="B588" s="58"/>
      <c r="C588" s="58"/>
      <c r="D588" s="58"/>
      <c r="E588" s="58"/>
      <c r="F588" s="58"/>
      <c r="G588" s="58"/>
      <c r="H588" s="58"/>
      <c r="I588" s="58"/>
      <c r="J588" s="58"/>
      <c r="K588" s="58"/>
      <c r="L588" s="58"/>
      <c r="M588" s="58"/>
      <c r="N588" s="58"/>
      <c r="O588" s="58"/>
      <c r="P588" s="58"/>
      <c r="Q588" s="58"/>
      <c r="R588" s="58"/>
      <c r="S588" s="58"/>
    </row>
    <row r="589" spans="2:19" x14ac:dyDescent="0.15">
      <c r="B589" s="58"/>
      <c r="C589" s="58"/>
      <c r="D589" s="58"/>
      <c r="E589" s="58"/>
      <c r="F589" s="58"/>
      <c r="G589" s="58"/>
      <c r="H589" s="58"/>
      <c r="I589" s="58"/>
      <c r="J589" s="58"/>
      <c r="K589" s="58"/>
      <c r="L589" s="58"/>
      <c r="M589" s="58"/>
      <c r="N589" s="58"/>
      <c r="O589" s="58"/>
      <c r="P589" s="58"/>
      <c r="Q589" s="58"/>
      <c r="R589" s="58"/>
      <c r="S589" s="58"/>
    </row>
    <row r="590" spans="2:19" x14ac:dyDescent="0.15">
      <c r="B590" s="58"/>
      <c r="C590" s="58"/>
      <c r="D590" s="58"/>
      <c r="E590" s="58"/>
      <c r="F590" s="58"/>
      <c r="G590" s="58"/>
      <c r="H590" s="58"/>
      <c r="I590" s="58"/>
      <c r="J590" s="58"/>
      <c r="K590" s="58"/>
      <c r="L590" s="58"/>
      <c r="M590" s="58"/>
      <c r="N590" s="58"/>
      <c r="O590" s="58"/>
      <c r="P590" s="58"/>
      <c r="Q590" s="58"/>
      <c r="R590" s="58"/>
      <c r="S590" s="58"/>
    </row>
    <row r="591" spans="2:19" x14ac:dyDescent="0.15">
      <c r="B591" s="58"/>
      <c r="C591" s="58"/>
      <c r="D591" s="58"/>
      <c r="E591" s="58"/>
      <c r="F591" s="58"/>
      <c r="G591" s="58"/>
      <c r="H591" s="58"/>
      <c r="I591" s="58"/>
      <c r="J591" s="58"/>
      <c r="K591" s="58"/>
      <c r="L591" s="58"/>
      <c r="M591" s="58"/>
      <c r="N591" s="58"/>
      <c r="O591" s="58"/>
      <c r="P591" s="58"/>
      <c r="Q591" s="58"/>
      <c r="R591" s="58"/>
      <c r="S591" s="58"/>
    </row>
    <row r="592" spans="2:19" x14ac:dyDescent="0.15">
      <c r="B592" s="58"/>
      <c r="C592" s="58"/>
      <c r="D592" s="58"/>
      <c r="E592" s="58"/>
      <c r="F592" s="58"/>
      <c r="G592" s="58"/>
      <c r="H592" s="58"/>
      <c r="I592" s="58"/>
      <c r="J592" s="58"/>
      <c r="K592" s="58"/>
      <c r="L592" s="58"/>
      <c r="M592" s="58"/>
      <c r="N592" s="58"/>
      <c r="O592" s="58"/>
      <c r="P592" s="58"/>
      <c r="Q592" s="58"/>
      <c r="R592" s="58"/>
      <c r="S592" s="58"/>
    </row>
    <row r="593" spans="2:19" x14ac:dyDescent="0.15">
      <c r="B593" s="58"/>
      <c r="C593" s="58"/>
      <c r="D593" s="58"/>
      <c r="E593" s="58"/>
      <c r="F593" s="58"/>
      <c r="G593" s="58"/>
      <c r="H593" s="58"/>
      <c r="I593" s="58"/>
      <c r="J593" s="58"/>
      <c r="K593" s="58"/>
      <c r="L593" s="58"/>
      <c r="M593" s="58"/>
      <c r="N593" s="58"/>
      <c r="O593" s="58"/>
      <c r="P593" s="58"/>
      <c r="Q593" s="58"/>
      <c r="R593" s="58"/>
      <c r="S593" s="58"/>
    </row>
    <row r="594" spans="2:19" x14ac:dyDescent="0.15">
      <c r="B594" s="58"/>
      <c r="C594" s="58"/>
      <c r="D594" s="58"/>
      <c r="E594" s="58"/>
      <c r="F594" s="58"/>
      <c r="G594" s="58"/>
      <c r="H594" s="58"/>
      <c r="I594" s="58"/>
      <c r="J594" s="58"/>
      <c r="K594" s="58"/>
      <c r="L594" s="58"/>
      <c r="M594" s="58"/>
      <c r="N594" s="58"/>
      <c r="O594" s="58"/>
      <c r="P594" s="58"/>
      <c r="Q594" s="58"/>
      <c r="R594" s="58"/>
      <c r="S594" s="58"/>
    </row>
    <row r="595" spans="2:19" x14ac:dyDescent="0.15">
      <c r="B595" s="58"/>
      <c r="C595" s="58"/>
      <c r="D595" s="58"/>
      <c r="E595" s="58"/>
      <c r="F595" s="58"/>
      <c r="G595" s="58"/>
      <c r="H595" s="58"/>
      <c r="I595" s="58"/>
      <c r="J595" s="58"/>
      <c r="K595" s="58"/>
      <c r="L595" s="58"/>
      <c r="M595" s="58"/>
      <c r="N595" s="58"/>
      <c r="O595" s="58"/>
      <c r="P595" s="58"/>
      <c r="Q595" s="58"/>
      <c r="R595" s="58"/>
      <c r="S595" s="58"/>
    </row>
    <row r="596" spans="2:19" x14ac:dyDescent="0.15">
      <c r="B596" s="58"/>
      <c r="C596" s="58"/>
      <c r="D596" s="58"/>
      <c r="E596" s="58"/>
      <c r="F596" s="58"/>
      <c r="G596" s="58"/>
      <c r="H596" s="58"/>
      <c r="I596" s="58"/>
      <c r="J596" s="58"/>
      <c r="K596" s="58"/>
      <c r="L596" s="58"/>
      <c r="M596" s="58"/>
      <c r="N596" s="58"/>
      <c r="O596" s="58"/>
      <c r="P596" s="58"/>
      <c r="Q596" s="58"/>
      <c r="R596" s="58"/>
      <c r="S596" s="58"/>
    </row>
    <row r="597" spans="2:19" x14ac:dyDescent="0.15">
      <c r="B597" s="58"/>
      <c r="C597" s="58"/>
      <c r="D597" s="58"/>
      <c r="E597" s="58"/>
      <c r="F597" s="58"/>
      <c r="G597" s="58"/>
      <c r="H597" s="58"/>
      <c r="I597" s="58"/>
      <c r="J597" s="58"/>
      <c r="K597" s="58"/>
      <c r="L597" s="58"/>
      <c r="M597" s="58"/>
      <c r="N597" s="58"/>
      <c r="O597" s="58"/>
      <c r="P597" s="58"/>
      <c r="Q597" s="58"/>
      <c r="R597" s="58"/>
      <c r="S597" s="58"/>
    </row>
    <row r="598" spans="2:19" x14ac:dyDescent="0.15">
      <c r="B598" s="58"/>
      <c r="C598" s="58"/>
      <c r="D598" s="58"/>
      <c r="E598" s="58"/>
      <c r="F598" s="58"/>
      <c r="G598" s="58"/>
      <c r="H598" s="58"/>
      <c r="I598" s="58"/>
      <c r="J598" s="58"/>
      <c r="K598" s="58"/>
      <c r="L598" s="58"/>
      <c r="M598" s="58"/>
      <c r="N598" s="58"/>
      <c r="O598" s="58"/>
      <c r="P598" s="58"/>
      <c r="Q598" s="58"/>
      <c r="R598" s="58"/>
      <c r="S598" s="58"/>
    </row>
    <row r="599" spans="2:19" x14ac:dyDescent="0.15">
      <c r="B599" s="58"/>
      <c r="C599" s="58"/>
      <c r="D599" s="58"/>
      <c r="E599" s="58"/>
      <c r="F599" s="58"/>
      <c r="G599" s="58"/>
      <c r="H599" s="58"/>
      <c r="I599" s="58"/>
      <c r="J599" s="58"/>
      <c r="K599" s="58"/>
      <c r="L599" s="58"/>
      <c r="M599" s="58"/>
      <c r="N599" s="58"/>
      <c r="O599" s="58"/>
      <c r="P599" s="58"/>
      <c r="Q599" s="58"/>
      <c r="R599" s="58"/>
      <c r="S599" s="58"/>
    </row>
    <row r="600" spans="2:19" x14ac:dyDescent="0.15">
      <c r="B600" s="58"/>
      <c r="C600" s="58"/>
      <c r="D600" s="58"/>
      <c r="E600" s="58"/>
      <c r="F600" s="58"/>
      <c r="G600" s="58"/>
      <c r="H600" s="58"/>
      <c r="I600" s="58"/>
      <c r="J600" s="58"/>
      <c r="K600" s="58"/>
      <c r="L600" s="58"/>
      <c r="M600" s="58"/>
      <c r="N600" s="58"/>
      <c r="O600" s="58"/>
      <c r="P600" s="58"/>
      <c r="Q600" s="58"/>
      <c r="R600" s="58"/>
      <c r="S600" s="58"/>
    </row>
    <row r="601" spans="2:19" x14ac:dyDescent="0.15">
      <c r="B601" s="58"/>
      <c r="C601" s="58"/>
      <c r="D601" s="58"/>
      <c r="E601" s="58"/>
      <c r="F601" s="58"/>
      <c r="G601" s="58"/>
      <c r="H601" s="58"/>
      <c r="I601" s="58"/>
      <c r="J601" s="58"/>
      <c r="K601" s="58"/>
      <c r="L601" s="58"/>
      <c r="M601" s="58"/>
      <c r="N601" s="58"/>
      <c r="O601" s="58"/>
      <c r="P601" s="58"/>
      <c r="Q601" s="58"/>
      <c r="R601" s="58"/>
      <c r="S601" s="58"/>
    </row>
    <row r="602" spans="2:19" x14ac:dyDescent="0.15">
      <c r="B602" s="58"/>
      <c r="C602" s="58"/>
      <c r="D602" s="58"/>
      <c r="E602" s="58"/>
      <c r="F602" s="58"/>
      <c r="G602" s="58"/>
      <c r="H602" s="58"/>
      <c r="I602" s="58"/>
      <c r="J602" s="58"/>
      <c r="K602" s="58"/>
      <c r="L602" s="58"/>
      <c r="M602" s="58"/>
      <c r="N602" s="58"/>
      <c r="O602" s="58"/>
      <c r="P602" s="58"/>
      <c r="Q602" s="58"/>
      <c r="R602" s="58"/>
      <c r="S602" s="58"/>
    </row>
    <row r="603" spans="2:19" x14ac:dyDescent="0.15">
      <c r="B603" s="58"/>
      <c r="C603" s="58"/>
      <c r="D603" s="58"/>
      <c r="E603" s="58"/>
      <c r="F603" s="58"/>
      <c r="G603" s="58"/>
      <c r="H603" s="58"/>
      <c r="I603" s="58"/>
      <c r="J603" s="58"/>
      <c r="K603" s="58"/>
      <c r="L603" s="58"/>
      <c r="M603" s="58"/>
      <c r="N603" s="58"/>
      <c r="O603" s="58"/>
      <c r="P603" s="58"/>
      <c r="Q603" s="58"/>
      <c r="R603" s="58"/>
      <c r="S603" s="58"/>
    </row>
    <row r="604" spans="2:19" x14ac:dyDescent="0.15">
      <c r="B604" s="58"/>
      <c r="C604" s="58"/>
      <c r="D604" s="58"/>
      <c r="E604" s="58"/>
      <c r="F604" s="58"/>
      <c r="G604" s="58"/>
      <c r="H604" s="58"/>
      <c r="I604" s="58"/>
      <c r="J604" s="58"/>
      <c r="K604" s="58"/>
      <c r="L604" s="58"/>
      <c r="M604" s="58"/>
      <c r="N604" s="58"/>
      <c r="O604" s="58"/>
      <c r="P604" s="58"/>
      <c r="Q604" s="58"/>
      <c r="R604" s="58"/>
      <c r="S604" s="58"/>
    </row>
    <row r="605" spans="2:19" x14ac:dyDescent="0.15">
      <c r="B605" s="58"/>
      <c r="C605" s="58"/>
      <c r="D605" s="58"/>
      <c r="E605" s="58"/>
      <c r="F605" s="58"/>
      <c r="G605" s="58"/>
      <c r="H605" s="58"/>
      <c r="I605" s="58"/>
      <c r="J605" s="58"/>
      <c r="K605" s="58"/>
      <c r="L605" s="58"/>
      <c r="M605" s="58"/>
      <c r="N605" s="58"/>
      <c r="O605" s="58"/>
      <c r="P605" s="58"/>
      <c r="Q605" s="58"/>
      <c r="R605" s="58"/>
      <c r="S605" s="58"/>
    </row>
    <row r="606" spans="2:19" x14ac:dyDescent="0.15">
      <c r="B606" s="58"/>
      <c r="C606" s="58"/>
      <c r="D606" s="58"/>
      <c r="E606" s="58"/>
      <c r="F606" s="58"/>
      <c r="G606" s="58"/>
      <c r="H606" s="58"/>
      <c r="I606" s="58"/>
      <c r="J606" s="58"/>
      <c r="K606" s="58"/>
      <c r="L606" s="58"/>
      <c r="M606" s="58"/>
      <c r="N606" s="58"/>
      <c r="O606" s="58"/>
      <c r="P606" s="58"/>
      <c r="Q606" s="58"/>
      <c r="R606" s="58"/>
      <c r="S606" s="58"/>
    </row>
    <row r="607" spans="2:19" x14ac:dyDescent="0.15">
      <c r="B607" s="58"/>
      <c r="C607" s="58"/>
      <c r="D607" s="58"/>
      <c r="E607" s="58"/>
      <c r="F607" s="58"/>
      <c r="G607" s="58"/>
      <c r="H607" s="58"/>
      <c r="I607" s="58"/>
      <c r="J607" s="58"/>
      <c r="K607" s="58"/>
      <c r="L607" s="58"/>
      <c r="M607" s="58"/>
      <c r="N607" s="58"/>
      <c r="O607" s="58"/>
      <c r="P607" s="58"/>
      <c r="Q607" s="58"/>
      <c r="R607" s="58"/>
      <c r="S607" s="58"/>
    </row>
    <row r="608" spans="2:19" x14ac:dyDescent="0.15">
      <c r="B608" s="58"/>
      <c r="C608" s="58"/>
      <c r="D608" s="58"/>
      <c r="E608" s="58"/>
      <c r="F608" s="58"/>
      <c r="G608" s="58"/>
      <c r="H608" s="58"/>
      <c r="I608" s="58"/>
      <c r="J608" s="58"/>
      <c r="K608" s="58"/>
      <c r="L608" s="58"/>
      <c r="M608" s="58"/>
      <c r="N608" s="58"/>
      <c r="O608" s="58"/>
      <c r="P608" s="58"/>
      <c r="Q608" s="58"/>
      <c r="R608" s="58"/>
      <c r="S608" s="58"/>
    </row>
    <row r="609" spans="2:19" x14ac:dyDescent="0.15">
      <c r="B609" s="58"/>
      <c r="C609" s="58"/>
      <c r="D609" s="58"/>
      <c r="E609" s="58"/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</row>
    <row r="610" spans="2:19" x14ac:dyDescent="0.15">
      <c r="B610" s="58"/>
      <c r="C610" s="58"/>
      <c r="D610" s="58"/>
      <c r="E610" s="58"/>
      <c r="F610" s="58"/>
      <c r="G610" s="58"/>
      <c r="H610" s="58"/>
      <c r="I610" s="58"/>
      <c r="J610" s="58"/>
      <c r="K610" s="58"/>
      <c r="L610" s="58"/>
      <c r="M610" s="58"/>
      <c r="N610" s="58"/>
      <c r="O610" s="58"/>
      <c r="P610" s="58"/>
      <c r="Q610" s="58"/>
      <c r="R610" s="58"/>
      <c r="S610" s="58"/>
    </row>
    <row r="611" spans="2:19" x14ac:dyDescent="0.15">
      <c r="B611" s="58"/>
      <c r="C611" s="58"/>
      <c r="D611" s="58"/>
      <c r="E611" s="58"/>
      <c r="F611" s="58"/>
      <c r="G611" s="58"/>
      <c r="H611" s="58"/>
      <c r="I611" s="58"/>
      <c r="J611" s="58"/>
      <c r="K611" s="58"/>
      <c r="L611" s="58"/>
      <c r="M611" s="58"/>
      <c r="N611" s="58"/>
      <c r="O611" s="58"/>
      <c r="P611" s="58"/>
      <c r="Q611" s="58"/>
      <c r="R611" s="58"/>
      <c r="S611" s="58"/>
    </row>
    <row r="612" spans="2:19" x14ac:dyDescent="0.15">
      <c r="B612" s="58"/>
      <c r="C612" s="58"/>
      <c r="D612" s="58"/>
      <c r="E612" s="58"/>
      <c r="F612" s="58"/>
      <c r="G612" s="58"/>
      <c r="H612" s="58"/>
      <c r="I612" s="58"/>
      <c r="J612" s="58"/>
      <c r="K612" s="58"/>
      <c r="L612" s="58"/>
      <c r="M612" s="58"/>
      <c r="N612" s="58"/>
      <c r="O612" s="58"/>
      <c r="P612" s="58"/>
      <c r="Q612" s="58"/>
      <c r="R612" s="58"/>
      <c r="S612" s="58"/>
    </row>
    <row r="613" spans="2:19" x14ac:dyDescent="0.15">
      <c r="B613" s="58"/>
      <c r="C613" s="58"/>
      <c r="D613" s="58"/>
      <c r="E613" s="58"/>
      <c r="F613" s="58"/>
      <c r="G613" s="58"/>
      <c r="H613" s="58"/>
      <c r="I613" s="58"/>
      <c r="J613" s="58"/>
      <c r="K613" s="58"/>
      <c r="L613" s="58"/>
      <c r="M613" s="58"/>
      <c r="N613" s="58"/>
      <c r="O613" s="58"/>
      <c r="P613" s="58"/>
      <c r="Q613" s="58"/>
      <c r="R613" s="58"/>
      <c r="S613" s="58"/>
    </row>
    <row r="614" spans="2:19" x14ac:dyDescent="0.15">
      <c r="B614" s="58"/>
      <c r="C614" s="58"/>
      <c r="D614" s="58"/>
      <c r="E614" s="58"/>
      <c r="F614" s="58"/>
      <c r="G614" s="58"/>
      <c r="H614" s="58"/>
      <c r="I614" s="58"/>
      <c r="J614" s="58"/>
      <c r="K614" s="58"/>
      <c r="L614" s="58"/>
      <c r="M614" s="58"/>
      <c r="N614" s="58"/>
      <c r="O614" s="58"/>
      <c r="P614" s="58"/>
      <c r="Q614" s="58"/>
      <c r="R614" s="58"/>
      <c r="S614" s="58"/>
    </row>
    <row r="615" spans="2:19" x14ac:dyDescent="0.15">
      <c r="B615" s="58"/>
      <c r="C615" s="58"/>
      <c r="D615" s="58"/>
      <c r="E615" s="58"/>
      <c r="F615" s="58"/>
      <c r="G615" s="58"/>
      <c r="H615" s="58"/>
      <c r="I615" s="58"/>
      <c r="J615" s="58"/>
      <c r="K615" s="58"/>
      <c r="L615" s="58"/>
      <c r="M615" s="58"/>
      <c r="N615" s="58"/>
      <c r="O615" s="58"/>
      <c r="P615" s="58"/>
      <c r="Q615" s="58"/>
      <c r="R615" s="58"/>
      <c r="S615" s="58"/>
    </row>
    <row r="616" spans="2:19" x14ac:dyDescent="0.15">
      <c r="B616" s="58"/>
      <c r="C616" s="58"/>
      <c r="D616" s="58"/>
      <c r="E616" s="58"/>
      <c r="F616" s="58"/>
      <c r="G616" s="58"/>
      <c r="H616" s="58"/>
      <c r="I616" s="58"/>
      <c r="J616" s="58"/>
      <c r="K616" s="58"/>
      <c r="L616" s="58"/>
      <c r="M616" s="58"/>
      <c r="N616" s="58"/>
      <c r="O616" s="58"/>
      <c r="P616" s="58"/>
      <c r="Q616" s="58"/>
      <c r="R616" s="58"/>
      <c r="S616" s="58"/>
    </row>
    <row r="617" spans="2:19" x14ac:dyDescent="0.15">
      <c r="B617" s="58"/>
      <c r="C617" s="58"/>
      <c r="D617" s="58"/>
      <c r="E617" s="58"/>
      <c r="F617" s="58"/>
      <c r="G617" s="58"/>
      <c r="H617" s="58"/>
      <c r="I617" s="58"/>
      <c r="J617" s="58"/>
      <c r="K617" s="58"/>
      <c r="L617" s="58"/>
      <c r="M617" s="58"/>
      <c r="N617" s="58"/>
      <c r="O617" s="58"/>
      <c r="P617" s="58"/>
      <c r="Q617" s="58"/>
      <c r="R617" s="58"/>
      <c r="S617" s="58"/>
    </row>
    <row r="618" spans="2:19" x14ac:dyDescent="0.15">
      <c r="B618" s="58"/>
      <c r="C618" s="58"/>
      <c r="D618" s="58"/>
      <c r="E618" s="58"/>
      <c r="F618" s="58"/>
      <c r="G618" s="58"/>
      <c r="H618" s="58"/>
      <c r="I618" s="58"/>
      <c r="J618" s="58"/>
      <c r="K618" s="58"/>
      <c r="L618" s="58"/>
      <c r="M618" s="58"/>
      <c r="N618" s="58"/>
      <c r="O618" s="58"/>
      <c r="P618" s="58"/>
      <c r="Q618" s="58"/>
      <c r="R618" s="58"/>
      <c r="S618" s="58"/>
    </row>
    <row r="619" spans="2:19" x14ac:dyDescent="0.15">
      <c r="B619" s="58"/>
      <c r="C619" s="58"/>
      <c r="D619" s="58"/>
      <c r="E619" s="58"/>
      <c r="F619" s="58"/>
      <c r="G619" s="58"/>
      <c r="H619" s="58"/>
      <c r="I619" s="58"/>
      <c r="J619" s="58"/>
      <c r="K619" s="58"/>
      <c r="L619" s="58"/>
      <c r="M619" s="58"/>
      <c r="N619" s="58"/>
      <c r="O619" s="58"/>
      <c r="P619" s="58"/>
      <c r="Q619" s="58"/>
      <c r="R619" s="58"/>
      <c r="S619" s="58"/>
    </row>
    <row r="620" spans="2:19" x14ac:dyDescent="0.15">
      <c r="B620" s="58"/>
      <c r="C620" s="58"/>
      <c r="D620" s="58"/>
      <c r="E620" s="58"/>
      <c r="F620" s="58"/>
      <c r="G620" s="58"/>
      <c r="H620" s="58"/>
      <c r="I620" s="58"/>
      <c r="J620" s="58"/>
      <c r="K620" s="58"/>
      <c r="L620" s="58"/>
      <c r="M620" s="58"/>
      <c r="N620" s="58"/>
      <c r="O620" s="58"/>
      <c r="P620" s="58"/>
      <c r="Q620" s="58"/>
      <c r="R620" s="58"/>
      <c r="S620" s="58"/>
    </row>
    <row r="621" spans="2:19" x14ac:dyDescent="0.15">
      <c r="B621" s="58"/>
      <c r="C621" s="58"/>
      <c r="D621" s="58"/>
      <c r="E621" s="58"/>
      <c r="F621" s="58"/>
      <c r="G621" s="58"/>
      <c r="H621" s="58"/>
      <c r="I621" s="58"/>
      <c r="J621" s="58"/>
      <c r="K621" s="58"/>
      <c r="L621" s="58"/>
      <c r="M621" s="58"/>
      <c r="N621" s="58"/>
      <c r="O621" s="58"/>
      <c r="P621" s="58"/>
      <c r="Q621" s="58"/>
      <c r="R621" s="58"/>
      <c r="S621" s="58"/>
    </row>
    <row r="622" spans="2:19" x14ac:dyDescent="0.15">
      <c r="B622" s="58"/>
      <c r="C622" s="58"/>
      <c r="D622" s="58"/>
      <c r="E622" s="58"/>
      <c r="F622" s="58"/>
      <c r="G622" s="58"/>
      <c r="H622" s="58"/>
      <c r="I622" s="58"/>
      <c r="J622" s="58"/>
      <c r="K622" s="58"/>
      <c r="L622" s="58"/>
      <c r="M622" s="58"/>
      <c r="N622" s="58"/>
      <c r="O622" s="58"/>
      <c r="P622" s="58"/>
      <c r="Q622" s="58"/>
      <c r="R622" s="58"/>
      <c r="S622" s="58"/>
    </row>
    <row r="623" spans="2:19" x14ac:dyDescent="0.15">
      <c r="B623" s="58"/>
      <c r="C623" s="58"/>
      <c r="D623" s="58"/>
      <c r="E623" s="58"/>
      <c r="F623" s="58"/>
      <c r="G623" s="58"/>
      <c r="H623" s="58"/>
      <c r="I623" s="58"/>
      <c r="J623" s="58"/>
      <c r="K623" s="58"/>
      <c r="L623" s="58"/>
      <c r="M623" s="58"/>
      <c r="N623" s="58"/>
      <c r="O623" s="58"/>
      <c r="P623" s="58"/>
      <c r="Q623" s="58"/>
      <c r="R623" s="58"/>
      <c r="S623" s="58"/>
    </row>
    <row r="624" spans="2:19" x14ac:dyDescent="0.15">
      <c r="B624" s="58"/>
      <c r="C624" s="58"/>
      <c r="D624" s="58"/>
      <c r="E624" s="58"/>
      <c r="F624" s="58"/>
      <c r="G624" s="58"/>
      <c r="H624" s="58"/>
      <c r="I624" s="58"/>
      <c r="J624" s="58"/>
      <c r="K624" s="58"/>
      <c r="L624" s="58"/>
      <c r="M624" s="58"/>
      <c r="N624" s="58"/>
      <c r="O624" s="58"/>
      <c r="P624" s="58"/>
      <c r="Q624" s="58"/>
      <c r="R624" s="58"/>
      <c r="S624" s="58"/>
    </row>
    <row r="625" spans="2:19" x14ac:dyDescent="0.15">
      <c r="B625" s="58"/>
      <c r="C625" s="58"/>
      <c r="D625" s="58"/>
      <c r="E625" s="58"/>
      <c r="F625" s="58"/>
      <c r="G625" s="58"/>
      <c r="H625" s="58"/>
      <c r="I625" s="58"/>
      <c r="J625" s="58"/>
      <c r="K625" s="58"/>
      <c r="L625" s="58"/>
      <c r="M625" s="58"/>
      <c r="N625" s="58"/>
      <c r="O625" s="58"/>
      <c r="P625" s="58"/>
      <c r="Q625" s="58"/>
      <c r="R625" s="58"/>
      <c r="S625" s="58"/>
    </row>
    <row r="626" spans="2:19" x14ac:dyDescent="0.15">
      <c r="B626" s="58"/>
      <c r="C626" s="58"/>
      <c r="D626" s="58"/>
      <c r="E626" s="58"/>
      <c r="F626" s="58"/>
      <c r="G626" s="58"/>
      <c r="H626" s="58"/>
      <c r="I626" s="58"/>
      <c r="J626" s="58"/>
      <c r="K626" s="58"/>
      <c r="L626" s="58"/>
      <c r="M626" s="58"/>
      <c r="N626" s="58"/>
      <c r="O626" s="58"/>
      <c r="P626" s="58"/>
      <c r="Q626" s="58"/>
      <c r="R626" s="58"/>
      <c r="S626" s="58"/>
    </row>
    <row r="627" spans="2:19" x14ac:dyDescent="0.15">
      <c r="B627" s="58"/>
      <c r="C627" s="58"/>
      <c r="D627" s="58"/>
      <c r="E627" s="58"/>
      <c r="F627" s="58"/>
      <c r="G627" s="58"/>
      <c r="H627" s="58"/>
      <c r="I627" s="58"/>
      <c r="J627" s="58"/>
      <c r="K627" s="58"/>
      <c r="L627" s="58"/>
      <c r="M627" s="58"/>
      <c r="N627" s="58"/>
      <c r="O627" s="58"/>
      <c r="P627" s="58"/>
      <c r="Q627" s="58"/>
      <c r="R627" s="58"/>
      <c r="S627" s="58"/>
    </row>
    <row r="628" spans="2:19" x14ac:dyDescent="0.15">
      <c r="B628" s="58"/>
      <c r="C628" s="58"/>
      <c r="D628" s="58"/>
      <c r="E628" s="58"/>
      <c r="F628" s="58"/>
      <c r="G628" s="58"/>
      <c r="H628" s="58"/>
      <c r="I628" s="58"/>
      <c r="J628" s="58"/>
      <c r="K628" s="58"/>
      <c r="L628" s="58"/>
      <c r="M628" s="58"/>
      <c r="N628" s="58"/>
      <c r="O628" s="58"/>
      <c r="P628" s="58"/>
      <c r="Q628" s="58"/>
      <c r="R628" s="58"/>
      <c r="S628" s="58"/>
    </row>
    <row r="629" spans="2:19" x14ac:dyDescent="0.15">
      <c r="B629" s="58"/>
      <c r="C629" s="58"/>
      <c r="D629" s="58"/>
      <c r="E629" s="58"/>
      <c r="F629" s="58"/>
      <c r="G629" s="58"/>
      <c r="H629" s="58"/>
      <c r="I629" s="58"/>
      <c r="J629" s="58"/>
      <c r="K629" s="58"/>
      <c r="L629" s="58"/>
      <c r="M629" s="58"/>
      <c r="N629" s="58"/>
      <c r="O629" s="58"/>
      <c r="P629" s="58"/>
      <c r="Q629" s="58"/>
      <c r="R629" s="58"/>
      <c r="S629" s="58"/>
    </row>
    <row r="630" spans="2:19" x14ac:dyDescent="0.15">
      <c r="B630" s="58"/>
      <c r="C630" s="58"/>
      <c r="D630" s="58"/>
      <c r="E630" s="58"/>
      <c r="F630" s="58"/>
      <c r="G630" s="58"/>
      <c r="H630" s="58"/>
      <c r="I630" s="58"/>
      <c r="J630" s="58"/>
      <c r="K630" s="58"/>
      <c r="L630" s="58"/>
      <c r="M630" s="58"/>
      <c r="N630" s="58"/>
      <c r="O630" s="58"/>
      <c r="P630" s="58"/>
      <c r="Q630" s="58"/>
      <c r="R630" s="58"/>
      <c r="S630" s="58"/>
    </row>
    <row r="631" spans="2:19" x14ac:dyDescent="0.15">
      <c r="B631" s="58"/>
      <c r="C631" s="58"/>
      <c r="D631" s="58"/>
      <c r="E631" s="58"/>
      <c r="F631" s="58"/>
      <c r="G631" s="58"/>
      <c r="H631" s="58"/>
      <c r="I631" s="58"/>
      <c r="J631" s="58"/>
      <c r="K631" s="58"/>
      <c r="L631" s="58"/>
      <c r="M631" s="58"/>
      <c r="N631" s="58"/>
      <c r="O631" s="58"/>
      <c r="P631" s="58"/>
      <c r="Q631" s="58"/>
      <c r="R631" s="58"/>
      <c r="S631" s="58"/>
    </row>
    <row r="632" spans="2:19" x14ac:dyDescent="0.15">
      <c r="B632" s="58"/>
      <c r="C632" s="58"/>
      <c r="D632" s="58"/>
      <c r="E632" s="58"/>
      <c r="F632" s="58"/>
      <c r="G632" s="58"/>
      <c r="H632" s="58"/>
      <c r="I632" s="58"/>
      <c r="J632" s="58"/>
      <c r="K632" s="58"/>
      <c r="L632" s="58"/>
      <c r="M632" s="58"/>
      <c r="N632" s="58"/>
      <c r="O632" s="58"/>
      <c r="P632" s="58"/>
      <c r="Q632" s="58"/>
      <c r="R632" s="58"/>
      <c r="S632" s="58"/>
    </row>
    <row r="633" spans="2:19" x14ac:dyDescent="0.15">
      <c r="B633" s="58"/>
      <c r="C633" s="58"/>
      <c r="D633" s="58"/>
      <c r="E633" s="58"/>
      <c r="F633" s="58"/>
      <c r="G633" s="58"/>
      <c r="H633" s="58"/>
      <c r="I633" s="58"/>
      <c r="J633" s="58"/>
      <c r="K633" s="58"/>
      <c r="L633" s="58"/>
      <c r="M633" s="58"/>
      <c r="N633" s="58"/>
      <c r="O633" s="58"/>
      <c r="P633" s="58"/>
      <c r="Q633" s="58"/>
      <c r="R633" s="58"/>
      <c r="S633" s="58"/>
    </row>
    <row r="634" spans="2:19" x14ac:dyDescent="0.15">
      <c r="B634" s="58"/>
      <c r="C634" s="58"/>
      <c r="D634" s="58"/>
      <c r="E634" s="58"/>
      <c r="F634" s="58"/>
      <c r="G634" s="58"/>
      <c r="H634" s="58"/>
      <c r="I634" s="58"/>
      <c r="J634" s="58"/>
      <c r="K634" s="58"/>
      <c r="L634" s="58"/>
      <c r="M634" s="58"/>
      <c r="N634" s="58"/>
      <c r="O634" s="58"/>
      <c r="P634" s="58"/>
      <c r="Q634" s="58"/>
      <c r="R634" s="58"/>
      <c r="S634" s="58"/>
    </row>
    <row r="635" spans="2:19" x14ac:dyDescent="0.15">
      <c r="B635" s="58"/>
      <c r="C635" s="58"/>
      <c r="D635" s="58"/>
      <c r="E635" s="58"/>
      <c r="F635" s="58"/>
      <c r="G635" s="58"/>
      <c r="H635" s="58"/>
      <c r="I635" s="58"/>
      <c r="J635" s="58"/>
      <c r="K635" s="58"/>
      <c r="L635" s="58"/>
      <c r="M635" s="58"/>
      <c r="N635" s="58"/>
      <c r="O635" s="58"/>
      <c r="P635" s="58"/>
      <c r="Q635" s="58"/>
      <c r="R635" s="58"/>
      <c r="S635" s="58"/>
    </row>
    <row r="636" spans="2:19" x14ac:dyDescent="0.15">
      <c r="B636" s="58"/>
      <c r="C636" s="58"/>
      <c r="D636" s="58"/>
      <c r="E636" s="58"/>
      <c r="F636" s="58"/>
      <c r="G636" s="58"/>
      <c r="H636" s="58"/>
      <c r="I636" s="58"/>
      <c r="J636" s="58"/>
      <c r="K636" s="58"/>
      <c r="L636" s="58"/>
      <c r="M636" s="58"/>
      <c r="N636" s="58"/>
      <c r="O636" s="58"/>
      <c r="P636" s="58"/>
      <c r="Q636" s="58"/>
      <c r="R636" s="58"/>
      <c r="S636" s="58"/>
    </row>
    <row r="637" spans="2:19" x14ac:dyDescent="0.15">
      <c r="B637" s="58"/>
      <c r="C637" s="58"/>
      <c r="D637" s="58"/>
      <c r="E637" s="58"/>
      <c r="F637" s="58"/>
      <c r="G637" s="58"/>
      <c r="H637" s="58"/>
      <c r="I637" s="58"/>
      <c r="J637" s="58"/>
      <c r="K637" s="58"/>
      <c r="L637" s="58"/>
      <c r="M637" s="58"/>
      <c r="N637" s="58"/>
      <c r="O637" s="58"/>
      <c r="P637" s="58"/>
      <c r="Q637" s="58"/>
      <c r="R637" s="58"/>
      <c r="S637" s="58"/>
    </row>
    <row r="638" spans="2:19" x14ac:dyDescent="0.15">
      <c r="B638" s="58"/>
      <c r="C638" s="58"/>
      <c r="D638" s="58"/>
      <c r="E638" s="58"/>
      <c r="F638" s="58"/>
      <c r="G638" s="58"/>
      <c r="H638" s="58"/>
      <c r="I638" s="58"/>
      <c r="J638" s="58"/>
      <c r="K638" s="58"/>
      <c r="L638" s="58"/>
      <c r="M638" s="58"/>
      <c r="N638" s="58"/>
      <c r="O638" s="58"/>
      <c r="P638" s="58"/>
      <c r="Q638" s="58"/>
      <c r="R638" s="58"/>
      <c r="S638" s="58"/>
    </row>
    <row r="639" spans="2:19" x14ac:dyDescent="0.15">
      <c r="B639" s="58"/>
      <c r="C639" s="58"/>
      <c r="D639" s="58"/>
      <c r="E639" s="58"/>
      <c r="F639" s="58"/>
      <c r="G639" s="58"/>
      <c r="H639" s="58"/>
      <c r="I639" s="58"/>
      <c r="J639" s="58"/>
      <c r="K639" s="58"/>
      <c r="L639" s="58"/>
      <c r="M639" s="58"/>
      <c r="N639" s="58"/>
      <c r="O639" s="58"/>
      <c r="P639" s="58"/>
      <c r="Q639" s="58"/>
      <c r="R639" s="58"/>
      <c r="S639" s="58"/>
    </row>
    <row r="640" spans="2:19" x14ac:dyDescent="0.15">
      <c r="B640" s="58"/>
      <c r="C640" s="58"/>
      <c r="D640" s="58"/>
      <c r="E640" s="58"/>
      <c r="F640" s="58"/>
      <c r="G640" s="58"/>
      <c r="H640" s="58"/>
      <c r="I640" s="58"/>
      <c r="J640" s="58"/>
      <c r="K640" s="58"/>
      <c r="L640" s="58"/>
      <c r="M640" s="58"/>
      <c r="N640" s="58"/>
      <c r="O640" s="58"/>
      <c r="P640" s="58"/>
      <c r="Q640" s="58"/>
      <c r="R640" s="58"/>
      <c r="S640" s="58"/>
    </row>
    <row r="641" spans="2:19" x14ac:dyDescent="0.15">
      <c r="B641" s="58"/>
      <c r="C641" s="58"/>
      <c r="D641" s="58"/>
      <c r="E641" s="58"/>
      <c r="F641" s="58"/>
      <c r="G641" s="58"/>
      <c r="H641" s="58"/>
      <c r="I641" s="58"/>
      <c r="J641" s="58"/>
      <c r="K641" s="58"/>
      <c r="L641" s="58"/>
      <c r="M641" s="58"/>
      <c r="N641" s="58"/>
      <c r="O641" s="58"/>
      <c r="P641" s="58"/>
      <c r="Q641" s="58"/>
      <c r="R641" s="58"/>
      <c r="S641" s="58"/>
    </row>
    <row r="642" spans="2:19" x14ac:dyDescent="0.15">
      <c r="B642" s="58"/>
      <c r="C642" s="58"/>
      <c r="D642" s="58"/>
      <c r="E642" s="58"/>
      <c r="F642" s="58"/>
      <c r="G642" s="58"/>
      <c r="H642" s="58"/>
      <c r="I642" s="58"/>
      <c r="J642" s="58"/>
      <c r="K642" s="58"/>
      <c r="L642" s="58"/>
      <c r="M642" s="58"/>
      <c r="N642" s="58"/>
      <c r="O642" s="58"/>
      <c r="P642" s="58"/>
      <c r="Q642" s="58"/>
      <c r="R642" s="58"/>
      <c r="S642" s="58"/>
    </row>
    <row r="643" spans="2:19" x14ac:dyDescent="0.15">
      <c r="B643" s="58"/>
      <c r="C643" s="58"/>
      <c r="D643" s="58"/>
      <c r="E643" s="58"/>
      <c r="F643" s="58"/>
      <c r="G643" s="58"/>
      <c r="H643" s="58"/>
      <c r="I643" s="58"/>
      <c r="J643" s="58"/>
      <c r="K643" s="58"/>
      <c r="L643" s="58"/>
      <c r="M643" s="58"/>
      <c r="N643" s="58"/>
      <c r="O643" s="58"/>
      <c r="P643" s="58"/>
      <c r="Q643" s="58"/>
      <c r="R643" s="58"/>
      <c r="S643" s="58"/>
    </row>
    <row r="644" spans="2:19" x14ac:dyDescent="0.15">
      <c r="B644" s="58"/>
      <c r="C644" s="58"/>
      <c r="D644" s="58"/>
      <c r="E644" s="58"/>
      <c r="F644" s="58"/>
      <c r="G644" s="58"/>
      <c r="H644" s="58"/>
      <c r="I644" s="58"/>
      <c r="J644" s="58"/>
      <c r="K644" s="58"/>
      <c r="L644" s="58"/>
      <c r="M644" s="58"/>
      <c r="N644" s="58"/>
      <c r="O644" s="58"/>
      <c r="P644" s="58"/>
      <c r="Q644" s="58"/>
      <c r="R644" s="58"/>
      <c r="S644" s="58"/>
    </row>
    <row r="645" spans="2:19" x14ac:dyDescent="0.15">
      <c r="B645" s="58"/>
      <c r="C645" s="58"/>
      <c r="D645" s="58"/>
      <c r="E645" s="58"/>
      <c r="F645" s="58"/>
      <c r="G645" s="58"/>
      <c r="H645" s="58"/>
      <c r="I645" s="58"/>
      <c r="J645" s="58"/>
      <c r="K645" s="58"/>
      <c r="L645" s="58"/>
      <c r="M645" s="58"/>
      <c r="N645" s="58"/>
      <c r="O645" s="58"/>
      <c r="P645" s="58"/>
      <c r="Q645" s="58"/>
      <c r="R645" s="58"/>
      <c r="S645" s="58"/>
    </row>
    <row r="646" spans="2:19" x14ac:dyDescent="0.15">
      <c r="B646" s="58"/>
      <c r="C646" s="58"/>
      <c r="D646" s="58"/>
      <c r="E646" s="58"/>
      <c r="F646" s="58"/>
      <c r="G646" s="58"/>
      <c r="H646" s="58"/>
      <c r="I646" s="58"/>
      <c r="J646" s="58"/>
      <c r="K646" s="58"/>
      <c r="L646" s="58"/>
      <c r="M646" s="58"/>
      <c r="N646" s="58"/>
      <c r="O646" s="58"/>
      <c r="P646" s="58"/>
      <c r="Q646" s="58"/>
      <c r="R646" s="58"/>
      <c r="S646" s="58"/>
    </row>
    <row r="647" spans="2:19" x14ac:dyDescent="0.15">
      <c r="B647" s="58"/>
      <c r="C647" s="58"/>
      <c r="D647" s="58"/>
      <c r="E647" s="58"/>
      <c r="F647" s="58"/>
      <c r="G647" s="58"/>
      <c r="H647" s="58"/>
      <c r="I647" s="58"/>
      <c r="J647" s="58"/>
      <c r="K647" s="58"/>
      <c r="L647" s="58"/>
      <c r="M647" s="58"/>
      <c r="N647" s="58"/>
      <c r="O647" s="58"/>
      <c r="P647" s="58"/>
      <c r="Q647" s="58"/>
      <c r="R647" s="58"/>
      <c r="S647" s="58"/>
    </row>
    <row r="648" spans="2:19" x14ac:dyDescent="0.15">
      <c r="B648" s="58"/>
      <c r="C648" s="58"/>
      <c r="D648" s="58"/>
      <c r="E648" s="58"/>
      <c r="F648" s="58"/>
      <c r="G648" s="58"/>
      <c r="H648" s="58"/>
      <c r="I648" s="58"/>
      <c r="J648" s="58"/>
      <c r="K648" s="58"/>
      <c r="L648" s="58"/>
      <c r="M648" s="58"/>
      <c r="N648" s="58"/>
      <c r="O648" s="58"/>
      <c r="P648" s="58"/>
      <c r="Q648" s="58"/>
      <c r="R648" s="58"/>
      <c r="S648" s="58"/>
    </row>
    <row r="649" spans="2:19" x14ac:dyDescent="0.15">
      <c r="B649" s="58"/>
      <c r="C649" s="58"/>
      <c r="D649" s="58"/>
      <c r="E649" s="58"/>
      <c r="F649" s="58"/>
      <c r="G649" s="58"/>
      <c r="H649" s="58"/>
      <c r="I649" s="58"/>
      <c r="J649" s="58"/>
      <c r="K649" s="58"/>
      <c r="L649" s="58"/>
      <c r="M649" s="58"/>
      <c r="N649" s="58"/>
      <c r="O649" s="58"/>
      <c r="P649" s="58"/>
      <c r="Q649" s="58"/>
      <c r="R649" s="58"/>
      <c r="S649" s="58"/>
    </row>
    <row r="650" spans="2:19" x14ac:dyDescent="0.15">
      <c r="B650" s="58"/>
      <c r="C650" s="58"/>
      <c r="D650" s="58"/>
      <c r="E650" s="58"/>
      <c r="F650" s="58"/>
      <c r="G650" s="58"/>
      <c r="H650" s="58"/>
      <c r="I650" s="58"/>
      <c r="J650" s="58"/>
      <c r="K650" s="58"/>
      <c r="L650" s="58"/>
      <c r="M650" s="58"/>
      <c r="N650" s="58"/>
      <c r="O650" s="58"/>
      <c r="P650" s="58"/>
      <c r="Q650" s="58"/>
      <c r="R650" s="58"/>
      <c r="S650" s="58"/>
    </row>
    <row r="651" spans="2:19" x14ac:dyDescent="0.15">
      <c r="B651" s="58"/>
      <c r="C651" s="58"/>
      <c r="D651" s="58"/>
      <c r="E651" s="58"/>
      <c r="F651" s="58"/>
      <c r="G651" s="58"/>
      <c r="H651" s="58"/>
      <c r="I651" s="58"/>
      <c r="J651" s="58"/>
      <c r="K651" s="58"/>
      <c r="L651" s="58"/>
      <c r="M651" s="58"/>
      <c r="N651" s="58"/>
      <c r="O651" s="58"/>
      <c r="P651" s="58"/>
      <c r="Q651" s="58"/>
      <c r="R651" s="58"/>
      <c r="S651" s="58"/>
    </row>
    <row r="652" spans="2:19" x14ac:dyDescent="0.15">
      <c r="B652" s="58"/>
      <c r="C652" s="58"/>
      <c r="D652" s="58"/>
      <c r="E652" s="58"/>
      <c r="F652" s="58"/>
      <c r="G652" s="58"/>
      <c r="H652" s="58"/>
      <c r="I652" s="58"/>
      <c r="J652" s="58"/>
      <c r="K652" s="58"/>
      <c r="L652" s="58"/>
      <c r="M652" s="58"/>
      <c r="N652" s="58"/>
      <c r="O652" s="58"/>
      <c r="P652" s="58"/>
      <c r="Q652" s="58"/>
      <c r="R652" s="58"/>
      <c r="S652" s="58"/>
    </row>
    <row r="653" spans="2:19" x14ac:dyDescent="0.15">
      <c r="B653" s="58"/>
      <c r="C653" s="58"/>
      <c r="D653" s="58"/>
      <c r="E653" s="58"/>
      <c r="F653" s="58"/>
      <c r="G653" s="58"/>
      <c r="H653" s="58"/>
      <c r="I653" s="58"/>
      <c r="J653" s="58"/>
      <c r="K653" s="58"/>
      <c r="L653" s="58"/>
      <c r="M653" s="58"/>
      <c r="N653" s="58"/>
      <c r="O653" s="58"/>
      <c r="P653" s="58"/>
      <c r="Q653" s="58"/>
      <c r="R653" s="58"/>
      <c r="S653" s="58"/>
    </row>
    <row r="654" spans="2:19" x14ac:dyDescent="0.15">
      <c r="B654" s="58"/>
      <c r="C654" s="58"/>
      <c r="D654" s="58"/>
      <c r="E654" s="58"/>
      <c r="F654" s="58"/>
      <c r="G654" s="58"/>
      <c r="H654" s="58"/>
      <c r="I654" s="58"/>
      <c r="J654" s="58"/>
      <c r="K654" s="58"/>
      <c r="L654" s="58"/>
      <c r="M654" s="58"/>
      <c r="N654" s="58"/>
      <c r="O654" s="58"/>
      <c r="P654" s="58"/>
      <c r="Q654" s="58"/>
      <c r="R654" s="58"/>
      <c r="S654" s="58"/>
    </row>
    <row r="655" spans="2:19" x14ac:dyDescent="0.15">
      <c r="B655" s="58"/>
      <c r="C655" s="58"/>
      <c r="D655" s="58"/>
      <c r="E655" s="58"/>
      <c r="F655" s="58"/>
      <c r="G655" s="58"/>
      <c r="H655" s="58"/>
      <c r="I655" s="58"/>
      <c r="J655" s="58"/>
      <c r="K655" s="58"/>
      <c r="L655" s="58"/>
      <c r="M655" s="58"/>
      <c r="N655" s="58"/>
      <c r="O655" s="58"/>
      <c r="P655" s="58"/>
      <c r="Q655" s="58"/>
      <c r="R655" s="58"/>
      <c r="S655" s="58"/>
    </row>
    <row r="656" spans="2:19" x14ac:dyDescent="0.15">
      <c r="B656" s="58"/>
      <c r="C656" s="58"/>
      <c r="D656" s="58"/>
      <c r="E656" s="58"/>
      <c r="F656" s="58"/>
      <c r="G656" s="58"/>
      <c r="H656" s="58"/>
      <c r="I656" s="58"/>
      <c r="J656" s="58"/>
      <c r="K656" s="58"/>
      <c r="L656" s="58"/>
      <c r="M656" s="58"/>
      <c r="N656" s="58"/>
      <c r="O656" s="58"/>
      <c r="P656" s="58"/>
      <c r="Q656" s="58"/>
      <c r="R656" s="58"/>
      <c r="S656" s="58"/>
    </row>
    <row r="657" spans="2:19" x14ac:dyDescent="0.15">
      <c r="B657" s="58"/>
      <c r="C657" s="58"/>
      <c r="D657" s="58"/>
      <c r="E657" s="58"/>
      <c r="F657" s="58"/>
      <c r="G657" s="58"/>
      <c r="H657" s="58"/>
      <c r="I657" s="58"/>
      <c r="J657" s="58"/>
      <c r="K657" s="58"/>
      <c r="L657" s="58"/>
      <c r="M657" s="58"/>
      <c r="N657" s="58"/>
      <c r="O657" s="58"/>
      <c r="P657" s="58"/>
      <c r="Q657" s="58"/>
      <c r="R657" s="58"/>
      <c r="S657" s="58"/>
    </row>
    <row r="658" spans="2:19" x14ac:dyDescent="0.15">
      <c r="B658" s="58"/>
      <c r="C658" s="58"/>
      <c r="D658" s="58"/>
      <c r="E658" s="58"/>
      <c r="F658" s="58"/>
      <c r="G658" s="58"/>
      <c r="H658" s="58"/>
      <c r="I658" s="58"/>
      <c r="J658" s="58"/>
      <c r="K658" s="58"/>
      <c r="L658" s="58"/>
      <c r="M658" s="58"/>
      <c r="N658" s="58"/>
      <c r="O658" s="58"/>
      <c r="P658" s="58"/>
      <c r="Q658" s="58"/>
      <c r="R658" s="58"/>
      <c r="S658" s="58"/>
    </row>
    <row r="659" spans="2:19" x14ac:dyDescent="0.15">
      <c r="B659" s="58"/>
      <c r="C659" s="58"/>
      <c r="D659" s="58"/>
      <c r="E659" s="58"/>
      <c r="F659" s="58"/>
      <c r="G659" s="58"/>
      <c r="H659" s="58"/>
      <c r="I659" s="58"/>
      <c r="J659" s="58"/>
      <c r="K659" s="58"/>
      <c r="L659" s="58"/>
      <c r="M659" s="58"/>
      <c r="N659" s="58"/>
      <c r="O659" s="58"/>
      <c r="P659" s="58"/>
      <c r="Q659" s="58"/>
      <c r="R659" s="58"/>
      <c r="S659" s="58"/>
    </row>
    <row r="660" spans="2:19" x14ac:dyDescent="0.15">
      <c r="B660" s="58"/>
      <c r="C660" s="58"/>
      <c r="D660" s="58"/>
      <c r="E660" s="58"/>
      <c r="F660" s="58"/>
      <c r="G660" s="58"/>
      <c r="H660" s="58"/>
      <c r="I660" s="58"/>
      <c r="J660" s="58"/>
      <c r="K660" s="58"/>
      <c r="L660" s="58"/>
      <c r="M660" s="58"/>
      <c r="N660" s="58"/>
      <c r="O660" s="58"/>
      <c r="P660" s="58"/>
      <c r="Q660" s="58"/>
      <c r="R660" s="58"/>
      <c r="S660" s="58"/>
    </row>
    <row r="661" spans="2:19" x14ac:dyDescent="0.15">
      <c r="B661" s="58"/>
      <c r="C661" s="58"/>
      <c r="D661" s="58"/>
      <c r="E661" s="58"/>
      <c r="F661" s="58"/>
      <c r="G661" s="58"/>
      <c r="H661" s="58"/>
      <c r="I661" s="58"/>
      <c r="J661" s="58"/>
      <c r="K661" s="58"/>
      <c r="L661" s="58"/>
      <c r="M661" s="58"/>
      <c r="N661" s="58"/>
      <c r="O661" s="58"/>
      <c r="P661" s="58"/>
      <c r="Q661" s="58"/>
      <c r="R661" s="58"/>
      <c r="S661" s="58"/>
    </row>
    <row r="662" spans="2:19" x14ac:dyDescent="0.15">
      <c r="B662" s="58"/>
      <c r="C662" s="58"/>
      <c r="D662" s="58"/>
      <c r="E662" s="58"/>
      <c r="F662" s="58"/>
      <c r="G662" s="58"/>
      <c r="H662" s="58"/>
      <c r="I662" s="58"/>
      <c r="J662" s="58"/>
      <c r="K662" s="58"/>
      <c r="L662" s="58"/>
      <c r="M662" s="58"/>
      <c r="N662" s="58"/>
      <c r="O662" s="58"/>
      <c r="P662" s="58"/>
      <c r="Q662" s="58"/>
      <c r="R662" s="58"/>
      <c r="S662" s="58"/>
    </row>
    <row r="663" spans="2:19" x14ac:dyDescent="0.15">
      <c r="B663" s="58"/>
      <c r="C663" s="58"/>
      <c r="D663" s="58"/>
      <c r="E663" s="58"/>
      <c r="F663" s="58"/>
      <c r="G663" s="58"/>
      <c r="H663" s="58"/>
      <c r="I663" s="58"/>
      <c r="J663" s="58"/>
      <c r="K663" s="58"/>
      <c r="L663" s="58"/>
      <c r="M663" s="58"/>
      <c r="N663" s="58"/>
      <c r="O663" s="58"/>
      <c r="P663" s="58"/>
      <c r="Q663" s="58"/>
      <c r="R663" s="58"/>
      <c r="S663" s="58"/>
    </row>
    <row r="664" spans="2:19" x14ac:dyDescent="0.15">
      <c r="B664" s="58"/>
      <c r="C664" s="58"/>
      <c r="D664" s="58"/>
      <c r="E664" s="58"/>
      <c r="F664" s="58"/>
      <c r="G664" s="58"/>
      <c r="H664" s="58"/>
      <c r="I664" s="58"/>
      <c r="J664" s="58"/>
      <c r="K664" s="58"/>
      <c r="L664" s="58"/>
      <c r="M664" s="58"/>
      <c r="N664" s="58"/>
      <c r="O664" s="58"/>
      <c r="P664" s="58"/>
      <c r="Q664" s="58"/>
      <c r="R664" s="58"/>
      <c r="S664" s="58"/>
    </row>
    <row r="665" spans="2:19" x14ac:dyDescent="0.15">
      <c r="B665" s="58"/>
      <c r="C665" s="58"/>
      <c r="D665" s="58"/>
      <c r="E665" s="58"/>
      <c r="F665" s="58"/>
      <c r="G665" s="58"/>
      <c r="H665" s="58"/>
      <c r="I665" s="58"/>
      <c r="J665" s="58"/>
      <c r="K665" s="58"/>
      <c r="L665" s="58"/>
      <c r="M665" s="58"/>
      <c r="N665" s="58"/>
      <c r="O665" s="58"/>
      <c r="P665" s="58"/>
      <c r="Q665" s="58"/>
      <c r="R665" s="58"/>
      <c r="S665" s="58"/>
    </row>
    <row r="666" spans="2:19" x14ac:dyDescent="0.15">
      <c r="B666" s="58"/>
      <c r="C666" s="58"/>
      <c r="D666" s="58"/>
      <c r="E666" s="58"/>
      <c r="F666" s="58"/>
      <c r="G666" s="58"/>
      <c r="H666" s="58"/>
      <c r="I666" s="58"/>
      <c r="J666" s="58"/>
      <c r="K666" s="58"/>
      <c r="L666" s="58"/>
      <c r="M666" s="58"/>
      <c r="N666" s="58"/>
      <c r="O666" s="58"/>
      <c r="P666" s="58"/>
      <c r="Q666" s="58"/>
      <c r="R666" s="58"/>
      <c r="S666" s="58"/>
    </row>
    <row r="667" spans="2:19" x14ac:dyDescent="0.15">
      <c r="B667" s="58"/>
      <c r="C667" s="58"/>
      <c r="D667" s="58"/>
      <c r="E667" s="58"/>
      <c r="F667" s="58"/>
      <c r="G667" s="58"/>
      <c r="H667" s="58"/>
      <c r="I667" s="58"/>
      <c r="J667" s="58"/>
      <c r="K667" s="58"/>
      <c r="L667" s="58"/>
      <c r="M667" s="58"/>
      <c r="N667" s="58"/>
      <c r="O667" s="58"/>
      <c r="P667" s="58"/>
      <c r="Q667" s="58"/>
      <c r="R667" s="58"/>
      <c r="S667" s="58"/>
    </row>
    <row r="668" spans="2:19" x14ac:dyDescent="0.15">
      <c r="B668" s="58"/>
      <c r="C668" s="58"/>
      <c r="D668" s="58"/>
      <c r="E668" s="58"/>
      <c r="F668" s="58"/>
      <c r="G668" s="58"/>
      <c r="H668" s="58"/>
      <c r="I668" s="58"/>
      <c r="J668" s="58"/>
      <c r="K668" s="58"/>
      <c r="L668" s="58"/>
      <c r="M668" s="58"/>
      <c r="N668" s="58"/>
      <c r="O668" s="58"/>
      <c r="P668" s="58"/>
      <c r="Q668" s="58"/>
      <c r="R668" s="58"/>
      <c r="S668" s="58"/>
    </row>
    <row r="669" spans="2:19" x14ac:dyDescent="0.15">
      <c r="B669" s="58"/>
      <c r="C669" s="58"/>
      <c r="D669" s="58"/>
      <c r="E669" s="58"/>
      <c r="F669" s="58"/>
      <c r="G669" s="58"/>
      <c r="H669" s="58"/>
      <c r="I669" s="58"/>
      <c r="J669" s="58"/>
      <c r="K669" s="58"/>
      <c r="L669" s="58"/>
      <c r="M669" s="58"/>
      <c r="N669" s="58"/>
      <c r="O669" s="58"/>
      <c r="P669" s="58"/>
      <c r="Q669" s="58"/>
      <c r="R669" s="58"/>
      <c r="S669" s="58"/>
    </row>
    <row r="670" spans="2:19" x14ac:dyDescent="0.15">
      <c r="B670" s="58"/>
      <c r="C670" s="58"/>
      <c r="D670" s="58"/>
      <c r="E670" s="58"/>
      <c r="F670" s="58"/>
      <c r="G670" s="58"/>
      <c r="H670" s="58"/>
      <c r="I670" s="58"/>
      <c r="J670" s="58"/>
      <c r="K670" s="58"/>
      <c r="L670" s="58"/>
      <c r="M670" s="58"/>
      <c r="N670" s="58"/>
      <c r="O670" s="58"/>
      <c r="P670" s="58"/>
      <c r="Q670" s="58"/>
      <c r="R670" s="58"/>
      <c r="S670" s="58"/>
    </row>
    <row r="671" spans="2:19" x14ac:dyDescent="0.15">
      <c r="B671" s="58"/>
      <c r="C671" s="58"/>
      <c r="D671" s="58"/>
      <c r="E671" s="58"/>
      <c r="F671" s="58"/>
      <c r="G671" s="58"/>
      <c r="H671" s="58"/>
      <c r="I671" s="58"/>
      <c r="J671" s="58"/>
      <c r="K671" s="58"/>
      <c r="L671" s="58"/>
      <c r="M671" s="58"/>
      <c r="N671" s="58"/>
      <c r="O671" s="58"/>
      <c r="P671" s="58"/>
      <c r="Q671" s="58"/>
      <c r="R671" s="58"/>
      <c r="S671" s="58"/>
    </row>
    <row r="672" spans="2:19" x14ac:dyDescent="0.15">
      <c r="B672" s="58"/>
      <c r="C672" s="58"/>
      <c r="D672" s="58"/>
      <c r="E672" s="58"/>
      <c r="F672" s="58"/>
      <c r="G672" s="58"/>
      <c r="H672" s="58"/>
      <c r="I672" s="58"/>
      <c r="J672" s="58"/>
      <c r="K672" s="58"/>
      <c r="L672" s="58"/>
      <c r="M672" s="58"/>
      <c r="N672" s="58"/>
      <c r="O672" s="58"/>
      <c r="P672" s="58"/>
      <c r="Q672" s="58"/>
      <c r="R672" s="58"/>
      <c r="S672" s="58"/>
    </row>
    <row r="673" spans="2:19" x14ac:dyDescent="0.15">
      <c r="B673" s="58"/>
      <c r="C673" s="58"/>
      <c r="D673" s="58"/>
      <c r="E673" s="58"/>
      <c r="F673" s="58"/>
      <c r="G673" s="58"/>
      <c r="H673" s="58"/>
      <c r="I673" s="58"/>
      <c r="J673" s="58"/>
      <c r="K673" s="58"/>
      <c r="L673" s="58"/>
      <c r="M673" s="58"/>
      <c r="N673" s="58"/>
      <c r="O673" s="58"/>
      <c r="P673" s="58"/>
      <c r="Q673" s="58"/>
      <c r="R673" s="58"/>
      <c r="S673" s="58"/>
    </row>
    <row r="674" spans="2:19" x14ac:dyDescent="0.15">
      <c r="B674" s="58"/>
      <c r="C674" s="58"/>
      <c r="D674" s="58"/>
      <c r="E674" s="58"/>
      <c r="F674" s="58"/>
      <c r="G674" s="58"/>
      <c r="H674" s="58"/>
      <c r="I674" s="58"/>
      <c r="J674" s="58"/>
      <c r="K674" s="58"/>
      <c r="L674" s="58"/>
      <c r="M674" s="58"/>
      <c r="N674" s="58"/>
      <c r="O674" s="58"/>
      <c r="P674" s="58"/>
      <c r="Q674" s="58"/>
      <c r="R674" s="58"/>
      <c r="S674" s="58"/>
    </row>
    <row r="675" spans="2:19" x14ac:dyDescent="0.15">
      <c r="B675" s="58"/>
      <c r="C675" s="58"/>
      <c r="D675" s="58"/>
      <c r="E675" s="58"/>
      <c r="F675" s="58"/>
      <c r="G675" s="58"/>
      <c r="H675" s="58"/>
      <c r="I675" s="58"/>
      <c r="J675" s="58"/>
      <c r="K675" s="58"/>
      <c r="L675" s="58"/>
      <c r="M675" s="58"/>
      <c r="N675" s="58"/>
      <c r="O675" s="58"/>
      <c r="P675" s="58"/>
      <c r="Q675" s="58"/>
      <c r="R675" s="58"/>
      <c r="S675" s="58"/>
    </row>
    <row r="676" spans="2:19" x14ac:dyDescent="0.15">
      <c r="B676" s="58"/>
      <c r="C676" s="58"/>
      <c r="D676" s="58"/>
      <c r="E676" s="58"/>
      <c r="F676" s="58"/>
      <c r="G676" s="58"/>
      <c r="H676" s="58"/>
      <c r="I676" s="58"/>
      <c r="J676" s="58"/>
      <c r="K676" s="58"/>
      <c r="L676" s="58"/>
      <c r="M676" s="58"/>
      <c r="N676" s="58"/>
      <c r="O676" s="58"/>
      <c r="P676" s="58"/>
      <c r="Q676" s="58"/>
      <c r="R676" s="58"/>
      <c r="S676" s="58"/>
    </row>
    <row r="677" spans="2:19" x14ac:dyDescent="0.15">
      <c r="B677" s="58"/>
      <c r="C677" s="58"/>
      <c r="D677" s="58"/>
      <c r="E677" s="58"/>
      <c r="F677" s="58"/>
      <c r="G677" s="58"/>
      <c r="H677" s="58"/>
      <c r="I677" s="58"/>
      <c r="J677" s="58"/>
      <c r="K677" s="58"/>
      <c r="L677" s="58"/>
      <c r="M677" s="58"/>
      <c r="N677" s="58"/>
      <c r="O677" s="58"/>
      <c r="P677" s="58"/>
      <c r="Q677" s="58"/>
      <c r="R677" s="58"/>
      <c r="S677" s="58"/>
    </row>
    <row r="678" spans="2:19" x14ac:dyDescent="0.15">
      <c r="B678" s="58"/>
      <c r="C678" s="58"/>
      <c r="D678" s="58"/>
      <c r="E678" s="58"/>
      <c r="F678" s="58"/>
      <c r="G678" s="58"/>
      <c r="H678" s="58"/>
      <c r="I678" s="58"/>
      <c r="J678" s="58"/>
      <c r="K678" s="58"/>
      <c r="L678" s="58"/>
      <c r="M678" s="58"/>
      <c r="N678" s="58"/>
      <c r="O678" s="58"/>
      <c r="P678" s="58"/>
      <c r="Q678" s="58"/>
      <c r="R678" s="58"/>
      <c r="S678" s="58"/>
    </row>
    <row r="679" spans="2:19" x14ac:dyDescent="0.15">
      <c r="B679" s="58"/>
      <c r="C679" s="58"/>
      <c r="D679" s="58"/>
      <c r="E679" s="58"/>
      <c r="F679" s="58"/>
      <c r="G679" s="58"/>
      <c r="H679" s="58"/>
      <c r="I679" s="58"/>
      <c r="J679" s="58"/>
      <c r="K679" s="58"/>
      <c r="L679" s="58"/>
      <c r="M679" s="58"/>
      <c r="N679" s="58"/>
      <c r="O679" s="58"/>
      <c r="P679" s="58"/>
      <c r="Q679" s="58"/>
      <c r="R679" s="58"/>
      <c r="S679" s="58"/>
    </row>
    <row r="680" spans="2:19" x14ac:dyDescent="0.15">
      <c r="B680" s="58"/>
      <c r="C680" s="58"/>
      <c r="D680" s="58"/>
      <c r="E680" s="58"/>
      <c r="F680" s="58"/>
      <c r="G680" s="58"/>
      <c r="H680" s="58"/>
      <c r="I680" s="58"/>
      <c r="J680" s="58"/>
      <c r="K680" s="58"/>
      <c r="L680" s="58"/>
      <c r="M680" s="58"/>
      <c r="N680" s="58"/>
      <c r="O680" s="58"/>
      <c r="P680" s="58"/>
      <c r="Q680" s="58"/>
      <c r="R680" s="58"/>
      <c r="S680" s="58"/>
    </row>
    <row r="681" spans="2:19" x14ac:dyDescent="0.15">
      <c r="B681" s="58"/>
      <c r="C681" s="58"/>
      <c r="D681" s="58"/>
      <c r="E681" s="58"/>
      <c r="F681" s="58"/>
      <c r="G681" s="58"/>
      <c r="H681" s="58"/>
      <c r="I681" s="58"/>
      <c r="J681" s="58"/>
      <c r="K681" s="58"/>
      <c r="L681" s="58"/>
      <c r="M681" s="58"/>
      <c r="N681" s="58"/>
      <c r="O681" s="58"/>
      <c r="P681" s="58"/>
      <c r="Q681" s="58"/>
      <c r="R681" s="58"/>
      <c r="S681" s="58"/>
    </row>
    <row r="682" spans="2:19" x14ac:dyDescent="0.15">
      <c r="B682" s="58"/>
      <c r="C682" s="58"/>
      <c r="D682" s="58"/>
      <c r="E682" s="58"/>
      <c r="F682" s="58"/>
      <c r="G682" s="58"/>
      <c r="H682" s="58"/>
      <c r="I682" s="58"/>
      <c r="J682" s="58"/>
      <c r="K682" s="58"/>
      <c r="L682" s="58"/>
      <c r="M682" s="58"/>
      <c r="N682" s="58"/>
      <c r="O682" s="58"/>
      <c r="P682" s="58"/>
      <c r="Q682" s="58"/>
      <c r="R682" s="58"/>
      <c r="S682" s="58"/>
    </row>
    <row r="683" spans="2:19" x14ac:dyDescent="0.15">
      <c r="B683" s="58"/>
      <c r="C683" s="58"/>
      <c r="D683" s="58"/>
      <c r="E683" s="58"/>
      <c r="F683" s="58"/>
      <c r="G683" s="58"/>
      <c r="H683" s="58"/>
      <c r="I683" s="58"/>
      <c r="J683" s="58"/>
      <c r="K683" s="58"/>
      <c r="L683" s="58"/>
      <c r="M683" s="58"/>
      <c r="N683" s="58"/>
      <c r="O683" s="58"/>
      <c r="P683" s="58"/>
      <c r="Q683" s="58"/>
      <c r="R683" s="58"/>
      <c r="S683" s="58"/>
    </row>
    <row r="684" spans="2:19" x14ac:dyDescent="0.15">
      <c r="B684" s="58"/>
      <c r="C684" s="58"/>
      <c r="D684" s="58"/>
      <c r="E684" s="58"/>
      <c r="F684" s="58"/>
      <c r="G684" s="58"/>
      <c r="H684" s="58"/>
      <c r="I684" s="58"/>
      <c r="J684" s="58"/>
      <c r="K684" s="58"/>
      <c r="L684" s="58"/>
      <c r="M684" s="58"/>
      <c r="N684" s="58"/>
      <c r="O684" s="58"/>
      <c r="P684" s="58"/>
      <c r="Q684" s="58"/>
      <c r="R684" s="58"/>
      <c r="S684" s="58"/>
    </row>
    <row r="685" spans="2:19" x14ac:dyDescent="0.15">
      <c r="B685" s="58"/>
      <c r="C685" s="58"/>
      <c r="D685" s="58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</row>
    <row r="686" spans="2:19" x14ac:dyDescent="0.15">
      <c r="B686" s="58"/>
      <c r="C686" s="58"/>
      <c r="D686" s="58"/>
      <c r="E686" s="58"/>
      <c r="F686" s="58"/>
      <c r="G686" s="58"/>
      <c r="H686" s="58"/>
      <c r="I686" s="58"/>
      <c r="J686" s="58"/>
      <c r="K686" s="58"/>
      <c r="L686" s="58"/>
      <c r="M686" s="58"/>
      <c r="N686" s="58"/>
      <c r="O686" s="58"/>
      <c r="P686" s="58"/>
      <c r="Q686" s="58"/>
      <c r="R686" s="58"/>
      <c r="S686" s="58"/>
    </row>
    <row r="687" spans="2:19" x14ac:dyDescent="0.15">
      <c r="B687" s="58"/>
      <c r="C687" s="58"/>
      <c r="D687" s="58"/>
      <c r="E687" s="58"/>
      <c r="F687" s="58"/>
      <c r="G687" s="58"/>
      <c r="H687" s="58"/>
      <c r="I687" s="58"/>
      <c r="J687" s="58"/>
      <c r="K687" s="58"/>
      <c r="L687" s="58"/>
      <c r="M687" s="58"/>
      <c r="N687" s="58"/>
      <c r="O687" s="58"/>
      <c r="P687" s="58"/>
      <c r="Q687" s="58"/>
      <c r="R687" s="58"/>
      <c r="S687" s="58"/>
    </row>
    <row r="688" spans="2:19" x14ac:dyDescent="0.15">
      <c r="B688" s="58"/>
      <c r="C688" s="58"/>
      <c r="D688" s="58"/>
      <c r="E688" s="58"/>
      <c r="F688" s="58"/>
      <c r="G688" s="58"/>
      <c r="H688" s="58"/>
      <c r="I688" s="58"/>
      <c r="J688" s="58"/>
      <c r="K688" s="58"/>
      <c r="L688" s="58"/>
      <c r="M688" s="58"/>
      <c r="N688" s="58"/>
      <c r="O688" s="58"/>
      <c r="P688" s="58"/>
      <c r="Q688" s="58"/>
      <c r="R688" s="58"/>
      <c r="S688" s="58"/>
    </row>
    <row r="689" spans="2:19" x14ac:dyDescent="0.15">
      <c r="B689" s="58"/>
      <c r="C689" s="58"/>
      <c r="D689" s="58"/>
      <c r="E689" s="58"/>
      <c r="F689" s="58"/>
      <c r="G689" s="58"/>
      <c r="H689" s="58"/>
      <c r="I689" s="58"/>
      <c r="J689" s="58"/>
      <c r="K689" s="58"/>
      <c r="L689" s="58"/>
      <c r="M689" s="58"/>
      <c r="N689" s="58"/>
      <c r="O689" s="58"/>
      <c r="P689" s="58"/>
      <c r="Q689" s="58"/>
      <c r="R689" s="58"/>
      <c r="S689" s="58"/>
    </row>
    <row r="690" spans="2:19" x14ac:dyDescent="0.15">
      <c r="B690" s="58"/>
      <c r="C690" s="58"/>
      <c r="D690" s="58"/>
      <c r="E690" s="58"/>
      <c r="F690" s="58"/>
      <c r="G690" s="58"/>
      <c r="H690" s="58"/>
      <c r="I690" s="58"/>
      <c r="J690" s="58"/>
      <c r="K690" s="58"/>
      <c r="L690" s="58"/>
      <c r="M690" s="58"/>
      <c r="N690" s="58"/>
      <c r="O690" s="58"/>
      <c r="P690" s="58"/>
      <c r="Q690" s="58"/>
      <c r="R690" s="58"/>
      <c r="S690" s="58"/>
    </row>
    <row r="691" spans="2:19" x14ac:dyDescent="0.15">
      <c r="B691" s="58"/>
      <c r="C691" s="58"/>
      <c r="D691" s="58"/>
      <c r="E691" s="58"/>
      <c r="F691" s="58"/>
      <c r="G691" s="58"/>
      <c r="H691" s="58"/>
      <c r="I691" s="58"/>
      <c r="J691" s="58"/>
      <c r="K691" s="58"/>
      <c r="L691" s="58"/>
      <c r="M691" s="58"/>
      <c r="N691" s="58"/>
      <c r="O691" s="58"/>
      <c r="P691" s="58"/>
      <c r="Q691" s="58"/>
      <c r="R691" s="58"/>
      <c r="S691" s="58"/>
    </row>
    <row r="692" spans="2:19" x14ac:dyDescent="0.15">
      <c r="B692" s="58"/>
      <c r="C692" s="58"/>
      <c r="D692" s="58"/>
      <c r="E692" s="58"/>
      <c r="F692" s="58"/>
      <c r="G692" s="58"/>
      <c r="H692" s="58"/>
      <c r="I692" s="58"/>
      <c r="J692" s="58"/>
      <c r="K692" s="58"/>
      <c r="L692" s="58"/>
      <c r="M692" s="58"/>
      <c r="N692" s="58"/>
      <c r="O692" s="58"/>
      <c r="P692" s="58"/>
      <c r="Q692" s="58"/>
      <c r="R692" s="58"/>
      <c r="S692" s="58"/>
    </row>
    <row r="693" spans="2:19" x14ac:dyDescent="0.15">
      <c r="B693" s="58"/>
      <c r="C693" s="58"/>
      <c r="D693" s="58"/>
      <c r="E693" s="58"/>
      <c r="F693" s="58"/>
      <c r="G693" s="58"/>
      <c r="H693" s="58"/>
      <c r="I693" s="58"/>
      <c r="J693" s="58"/>
      <c r="K693" s="58"/>
      <c r="L693" s="58"/>
      <c r="M693" s="58"/>
      <c r="N693" s="58"/>
      <c r="O693" s="58"/>
      <c r="P693" s="58"/>
      <c r="Q693" s="58"/>
      <c r="R693" s="58"/>
      <c r="S693" s="58"/>
    </row>
    <row r="694" spans="2:19" x14ac:dyDescent="0.15">
      <c r="B694" s="58"/>
      <c r="C694" s="58"/>
      <c r="D694" s="58"/>
      <c r="E694" s="58"/>
      <c r="F694" s="58"/>
      <c r="G694" s="58"/>
      <c r="H694" s="58"/>
      <c r="I694" s="58"/>
      <c r="J694" s="58"/>
      <c r="K694" s="58"/>
      <c r="L694" s="58"/>
      <c r="M694" s="58"/>
      <c r="N694" s="58"/>
      <c r="O694" s="58"/>
      <c r="P694" s="58"/>
      <c r="Q694" s="58"/>
      <c r="R694" s="58"/>
      <c r="S694" s="58"/>
    </row>
    <row r="695" spans="2:19" x14ac:dyDescent="0.15">
      <c r="B695" s="58"/>
      <c r="C695" s="58"/>
      <c r="D695" s="58"/>
      <c r="E695" s="58"/>
      <c r="F695" s="58"/>
      <c r="G695" s="58"/>
      <c r="H695" s="58"/>
      <c r="I695" s="58"/>
      <c r="J695" s="58"/>
      <c r="K695" s="58"/>
      <c r="L695" s="58"/>
      <c r="M695" s="58"/>
      <c r="N695" s="58"/>
      <c r="O695" s="58"/>
      <c r="P695" s="58"/>
      <c r="Q695" s="58"/>
      <c r="R695" s="58"/>
      <c r="S695" s="58"/>
    </row>
    <row r="696" spans="2:19" x14ac:dyDescent="0.15">
      <c r="B696" s="58"/>
      <c r="C696" s="58"/>
      <c r="D696" s="58"/>
      <c r="E696" s="58"/>
      <c r="F696" s="58"/>
      <c r="G696" s="58"/>
      <c r="H696" s="58"/>
      <c r="I696" s="58"/>
      <c r="J696" s="58"/>
      <c r="K696" s="58"/>
      <c r="L696" s="58"/>
      <c r="M696" s="58"/>
      <c r="N696" s="58"/>
      <c r="O696" s="58"/>
      <c r="P696" s="58"/>
      <c r="Q696" s="58"/>
      <c r="R696" s="58"/>
      <c r="S696" s="58"/>
    </row>
    <row r="697" spans="2:19" x14ac:dyDescent="0.15">
      <c r="B697" s="58"/>
      <c r="C697" s="58"/>
      <c r="D697" s="58"/>
      <c r="E697" s="58"/>
      <c r="F697" s="58"/>
      <c r="G697" s="58"/>
      <c r="H697" s="58"/>
      <c r="I697" s="58"/>
      <c r="J697" s="58"/>
      <c r="K697" s="58"/>
      <c r="L697" s="58"/>
      <c r="M697" s="58"/>
      <c r="N697" s="58"/>
      <c r="O697" s="58"/>
      <c r="P697" s="58"/>
      <c r="Q697" s="58"/>
      <c r="R697" s="58"/>
      <c r="S697" s="58"/>
    </row>
    <row r="698" spans="2:19" x14ac:dyDescent="0.15">
      <c r="B698" s="58"/>
      <c r="C698" s="58"/>
      <c r="D698" s="58"/>
      <c r="E698" s="58"/>
      <c r="F698" s="58"/>
      <c r="G698" s="58"/>
      <c r="H698" s="58"/>
      <c r="I698" s="58"/>
      <c r="J698" s="58"/>
      <c r="K698" s="58"/>
      <c r="L698" s="58"/>
      <c r="M698" s="58"/>
      <c r="N698" s="58"/>
      <c r="O698" s="58"/>
      <c r="P698" s="58"/>
      <c r="Q698" s="58"/>
      <c r="R698" s="58"/>
      <c r="S698" s="58"/>
    </row>
    <row r="699" spans="2:19" x14ac:dyDescent="0.15">
      <c r="B699" s="58"/>
      <c r="C699" s="58"/>
      <c r="D699" s="58"/>
      <c r="E699" s="58"/>
      <c r="F699" s="58"/>
      <c r="G699" s="58"/>
      <c r="H699" s="58"/>
      <c r="I699" s="58"/>
      <c r="J699" s="58"/>
      <c r="K699" s="58"/>
      <c r="L699" s="58"/>
      <c r="M699" s="58"/>
      <c r="N699" s="58"/>
      <c r="O699" s="58"/>
      <c r="P699" s="58"/>
      <c r="Q699" s="58"/>
      <c r="R699" s="58"/>
      <c r="S699" s="58"/>
    </row>
    <row r="700" spans="2:19" x14ac:dyDescent="0.15">
      <c r="B700" s="58"/>
      <c r="C700" s="58"/>
      <c r="D700" s="58"/>
      <c r="E700" s="58"/>
      <c r="F700" s="58"/>
      <c r="G700" s="58"/>
      <c r="H700" s="58"/>
      <c r="I700" s="58"/>
      <c r="J700" s="58"/>
      <c r="K700" s="58"/>
      <c r="L700" s="58"/>
      <c r="M700" s="58"/>
      <c r="N700" s="58"/>
      <c r="O700" s="58"/>
      <c r="P700" s="58"/>
      <c r="Q700" s="58"/>
      <c r="R700" s="58"/>
      <c r="S700" s="58"/>
    </row>
    <row r="701" spans="2:19" x14ac:dyDescent="0.15">
      <c r="B701" s="58"/>
      <c r="C701" s="58"/>
      <c r="D701" s="58"/>
      <c r="E701" s="58"/>
      <c r="F701" s="58"/>
      <c r="G701" s="58"/>
      <c r="H701" s="58"/>
      <c r="I701" s="58"/>
      <c r="J701" s="58"/>
      <c r="K701" s="58"/>
      <c r="L701" s="58"/>
      <c r="M701" s="58"/>
      <c r="N701" s="58"/>
      <c r="O701" s="58"/>
      <c r="P701" s="58"/>
      <c r="Q701" s="58"/>
      <c r="R701" s="58"/>
      <c r="S701" s="58"/>
    </row>
    <row r="702" spans="2:19" x14ac:dyDescent="0.15">
      <c r="B702" s="58"/>
      <c r="C702" s="58"/>
      <c r="D702" s="58"/>
      <c r="E702" s="58"/>
      <c r="F702" s="58"/>
      <c r="G702" s="58"/>
      <c r="H702" s="58"/>
      <c r="I702" s="58"/>
      <c r="J702" s="58"/>
      <c r="K702" s="58"/>
      <c r="L702" s="58"/>
      <c r="M702" s="58"/>
      <c r="N702" s="58"/>
      <c r="O702" s="58"/>
      <c r="P702" s="58"/>
      <c r="Q702" s="58"/>
      <c r="R702" s="58"/>
      <c r="S702" s="58"/>
    </row>
    <row r="703" spans="2:19" x14ac:dyDescent="0.15">
      <c r="B703" s="58"/>
      <c r="C703" s="58"/>
      <c r="D703" s="58"/>
      <c r="E703" s="58"/>
      <c r="F703" s="58"/>
      <c r="G703" s="58"/>
      <c r="H703" s="58"/>
      <c r="I703" s="58"/>
      <c r="J703" s="58"/>
      <c r="K703" s="58"/>
      <c r="L703" s="58"/>
      <c r="M703" s="58"/>
      <c r="N703" s="58"/>
      <c r="O703" s="58"/>
      <c r="P703" s="58"/>
      <c r="Q703" s="58"/>
      <c r="R703" s="58"/>
      <c r="S703" s="58"/>
    </row>
    <row r="704" spans="2:19" x14ac:dyDescent="0.15">
      <c r="B704" s="58"/>
      <c r="C704" s="58"/>
      <c r="D704" s="58"/>
      <c r="E704" s="58"/>
      <c r="F704" s="58"/>
      <c r="G704" s="58"/>
      <c r="H704" s="58"/>
      <c r="I704" s="58"/>
      <c r="J704" s="58"/>
      <c r="K704" s="58"/>
      <c r="L704" s="58"/>
      <c r="M704" s="58"/>
      <c r="N704" s="58"/>
      <c r="O704" s="58"/>
      <c r="P704" s="58"/>
      <c r="Q704" s="58"/>
      <c r="R704" s="58"/>
      <c r="S704" s="58"/>
    </row>
    <row r="705" spans="2:19" x14ac:dyDescent="0.15">
      <c r="B705" s="58"/>
      <c r="C705" s="58"/>
      <c r="D705" s="58"/>
      <c r="E705" s="58"/>
      <c r="F705" s="58"/>
      <c r="G705" s="58"/>
      <c r="H705" s="58"/>
      <c r="I705" s="58"/>
      <c r="J705" s="58"/>
      <c r="K705" s="58"/>
      <c r="L705" s="58"/>
      <c r="M705" s="58"/>
      <c r="N705" s="58"/>
      <c r="O705" s="58"/>
      <c r="P705" s="58"/>
      <c r="Q705" s="58"/>
      <c r="R705" s="58"/>
      <c r="S705" s="58"/>
    </row>
    <row r="706" spans="2:19" x14ac:dyDescent="0.15">
      <c r="B706" s="58"/>
      <c r="C706" s="58"/>
      <c r="D706" s="58"/>
      <c r="E706" s="58"/>
      <c r="F706" s="58"/>
      <c r="G706" s="58"/>
      <c r="H706" s="58"/>
      <c r="I706" s="58"/>
      <c r="J706" s="58"/>
      <c r="K706" s="58"/>
      <c r="L706" s="58"/>
      <c r="M706" s="58"/>
      <c r="N706" s="58"/>
      <c r="O706" s="58"/>
      <c r="P706" s="58"/>
      <c r="Q706" s="58"/>
      <c r="R706" s="58"/>
      <c r="S706" s="58"/>
    </row>
    <row r="707" spans="2:19" x14ac:dyDescent="0.15">
      <c r="B707" s="58"/>
      <c r="C707" s="58"/>
      <c r="D707" s="58"/>
      <c r="E707" s="58"/>
      <c r="F707" s="58"/>
      <c r="G707" s="58"/>
      <c r="H707" s="58"/>
      <c r="I707" s="58"/>
      <c r="J707" s="58"/>
      <c r="K707" s="58"/>
      <c r="L707" s="58"/>
      <c r="M707" s="58"/>
      <c r="N707" s="58"/>
      <c r="O707" s="58"/>
      <c r="P707" s="58"/>
      <c r="Q707" s="58"/>
      <c r="R707" s="58"/>
      <c r="S707" s="58"/>
    </row>
    <row r="708" spans="2:19" x14ac:dyDescent="0.15">
      <c r="B708" s="58"/>
      <c r="C708" s="58"/>
      <c r="D708" s="58"/>
      <c r="E708" s="58"/>
      <c r="F708" s="58"/>
      <c r="G708" s="58"/>
      <c r="H708" s="58"/>
      <c r="I708" s="58"/>
      <c r="J708" s="58"/>
      <c r="K708" s="58"/>
      <c r="L708" s="58"/>
      <c r="M708" s="58"/>
      <c r="N708" s="58"/>
      <c r="O708" s="58"/>
      <c r="P708" s="58"/>
      <c r="Q708" s="58"/>
      <c r="R708" s="58"/>
      <c r="S708" s="58"/>
    </row>
    <row r="709" spans="2:19" x14ac:dyDescent="0.15">
      <c r="B709" s="58"/>
      <c r="C709" s="58"/>
      <c r="D709" s="58"/>
      <c r="E709" s="58"/>
      <c r="F709" s="58"/>
      <c r="G709" s="58"/>
      <c r="H709" s="58"/>
      <c r="I709" s="58"/>
      <c r="J709" s="58"/>
      <c r="K709" s="58"/>
      <c r="L709" s="58"/>
      <c r="M709" s="58"/>
      <c r="N709" s="58"/>
      <c r="O709" s="58"/>
      <c r="P709" s="58"/>
      <c r="Q709" s="58"/>
      <c r="R709" s="58"/>
      <c r="S709" s="58"/>
    </row>
    <row r="710" spans="2:19" x14ac:dyDescent="0.15">
      <c r="B710" s="58"/>
      <c r="C710" s="58"/>
      <c r="D710" s="58"/>
      <c r="E710" s="58"/>
      <c r="F710" s="58"/>
      <c r="G710" s="58"/>
      <c r="H710" s="58"/>
      <c r="I710" s="58"/>
      <c r="J710" s="58"/>
      <c r="K710" s="58"/>
      <c r="L710" s="58"/>
      <c r="M710" s="58"/>
      <c r="N710" s="58"/>
      <c r="O710" s="58"/>
      <c r="P710" s="58"/>
      <c r="Q710" s="58"/>
      <c r="R710" s="58"/>
      <c r="S710" s="58"/>
    </row>
    <row r="711" spans="2:19" x14ac:dyDescent="0.15">
      <c r="B711" s="58"/>
      <c r="C711" s="58"/>
      <c r="D711" s="58"/>
      <c r="E711" s="58"/>
      <c r="F711" s="58"/>
      <c r="G711" s="58"/>
      <c r="H711" s="58"/>
      <c r="I711" s="58"/>
      <c r="J711" s="58"/>
      <c r="K711" s="58"/>
      <c r="L711" s="58"/>
      <c r="M711" s="58"/>
      <c r="N711" s="58"/>
      <c r="O711" s="58"/>
      <c r="P711" s="58"/>
      <c r="Q711" s="58"/>
      <c r="R711" s="58"/>
      <c r="S711" s="58"/>
    </row>
    <row r="712" spans="2:19" x14ac:dyDescent="0.15">
      <c r="B712" s="58"/>
      <c r="C712" s="58"/>
      <c r="D712" s="58"/>
      <c r="E712" s="58"/>
      <c r="F712" s="58"/>
      <c r="G712" s="58"/>
      <c r="H712" s="58"/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</row>
    <row r="713" spans="2:19" x14ac:dyDescent="0.15">
      <c r="B713" s="58"/>
      <c r="C713" s="58"/>
      <c r="D713" s="58"/>
      <c r="E713" s="58"/>
      <c r="F713" s="58"/>
      <c r="G713" s="58"/>
      <c r="H713" s="58"/>
      <c r="I713" s="58"/>
      <c r="J713" s="58"/>
      <c r="K713" s="58"/>
      <c r="L713" s="58"/>
      <c r="M713" s="58"/>
      <c r="N713" s="58"/>
      <c r="O713" s="58"/>
      <c r="P713" s="58"/>
      <c r="Q713" s="58"/>
      <c r="R713" s="58"/>
      <c r="S713" s="58"/>
    </row>
    <row r="714" spans="2:19" x14ac:dyDescent="0.15">
      <c r="B714" s="58"/>
      <c r="C714" s="58"/>
      <c r="D714" s="58"/>
      <c r="E714" s="58"/>
      <c r="F714" s="58"/>
      <c r="G714" s="58"/>
      <c r="H714" s="58"/>
      <c r="I714" s="58"/>
      <c r="J714" s="58"/>
      <c r="K714" s="58"/>
      <c r="L714" s="58"/>
      <c r="M714" s="58"/>
      <c r="N714" s="58"/>
      <c r="O714" s="58"/>
      <c r="P714" s="58"/>
      <c r="Q714" s="58"/>
      <c r="R714" s="58"/>
      <c r="S714" s="58"/>
    </row>
    <row r="715" spans="2:19" x14ac:dyDescent="0.15">
      <c r="B715" s="58"/>
      <c r="C715" s="58"/>
      <c r="D715" s="58"/>
      <c r="E715" s="58"/>
      <c r="F715" s="58"/>
      <c r="G715" s="58"/>
      <c r="H715" s="58"/>
      <c r="I715" s="58"/>
      <c r="J715" s="58"/>
      <c r="K715" s="58"/>
      <c r="L715" s="58"/>
      <c r="M715" s="58"/>
      <c r="N715" s="58"/>
      <c r="O715" s="58"/>
      <c r="P715" s="58"/>
      <c r="Q715" s="58"/>
      <c r="R715" s="58"/>
      <c r="S715" s="58"/>
    </row>
    <row r="716" spans="2:19" x14ac:dyDescent="0.15">
      <c r="B716" s="58"/>
      <c r="C716" s="58"/>
      <c r="D716" s="58"/>
      <c r="E716" s="58"/>
      <c r="F716" s="58"/>
      <c r="G716" s="58"/>
      <c r="H716" s="58"/>
      <c r="I716" s="58"/>
      <c r="J716" s="58"/>
      <c r="K716" s="58"/>
      <c r="L716" s="58"/>
      <c r="M716" s="58"/>
      <c r="N716" s="58"/>
      <c r="O716" s="58"/>
      <c r="P716" s="58"/>
      <c r="Q716" s="58"/>
      <c r="R716" s="58"/>
      <c r="S716" s="58"/>
    </row>
    <row r="717" spans="2:19" x14ac:dyDescent="0.15">
      <c r="B717" s="58"/>
      <c r="C717" s="58"/>
      <c r="D717" s="58"/>
      <c r="E717" s="58"/>
      <c r="F717" s="58"/>
      <c r="G717" s="58"/>
      <c r="H717" s="58"/>
      <c r="I717" s="58"/>
      <c r="J717" s="58"/>
      <c r="K717" s="58"/>
      <c r="L717" s="58"/>
      <c r="M717" s="58"/>
      <c r="N717" s="58"/>
      <c r="O717" s="58"/>
      <c r="P717" s="58"/>
      <c r="Q717" s="58"/>
      <c r="R717" s="58"/>
      <c r="S717" s="58"/>
    </row>
    <row r="718" spans="2:19" x14ac:dyDescent="0.15">
      <c r="B718" s="58"/>
      <c r="C718" s="58"/>
      <c r="D718" s="58"/>
      <c r="E718" s="58"/>
      <c r="F718" s="58"/>
      <c r="G718" s="58"/>
      <c r="H718" s="58"/>
      <c r="I718" s="58"/>
      <c r="J718" s="58"/>
      <c r="K718" s="58"/>
      <c r="L718" s="58"/>
      <c r="M718" s="58"/>
      <c r="N718" s="58"/>
      <c r="O718" s="58"/>
      <c r="P718" s="58"/>
      <c r="Q718" s="58"/>
      <c r="R718" s="58"/>
      <c r="S718" s="58"/>
    </row>
    <row r="719" spans="2:19" x14ac:dyDescent="0.15">
      <c r="B719" s="58"/>
      <c r="C719" s="58"/>
      <c r="D719" s="58"/>
      <c r="E719" s="58"/>
      <c r="F719" s="58"/>
      <c r="G719" s="58"/>
      <c r="H719" s="58"/>
      <c r="I719" s="58"/>
      <c r="J719" s="58"/>
      <c r="K719" s="58"/>
      <c r="L719" s="58"/>
      <c r="M719" s="58"/>
      <c r="N719" s="58"/>
      <c r="O719" s="58"/>
      <c r="P719" s="58"/>
      <c r="Q719" s="58"/>
      <c r="R719" s="58"/>
      <c r="S719" s="58"/>
    </row>
    <row r="720" spans="2:19" x14ac:dyDescent="0.15">
      <c r="B720" s="58"/>
      <c r="C720" s="58"/>
      <c r="D720" s="58"/>
      <c r="E720" s="58"/>
      <c r="F720" s="58"/>
      <c r="G720" s="58"/>
      <c r="H720" s="58"/>
      <c r="I720" s="58"/>
      <c r="J720" s="58"/>
      <c r="K720" s="58"/>
      <c r="L720" s="58"/>
      <c r="M720" s="58"/>
      <c r="N720" s="58"/>
      <c r="O720" s="58"/>
      <c r="P720" s="58"/>
      <c r="Q720" s="58"/>
      <c r="R720" s="58"/>
      <c r="S720" s="58"/>
    </row>
    <row r="721" spans="2:19" x14ac:dyDescent="0.15">
      <c r="B721" s="58"/>
      <c r="C721" s="58"/>
      <c r="D721" s="58"/>
      <c r="E721" s="58"/>
      <c r="F721" s="58"/>
      <c r="G721" s="58"/>
      <c r="H721" s="58"/>
      <c r="I721" s="58"/>
      <c r="J721" s="58"/>
      <c r="K721" s="58"/>
      <c r="L721" s="58"/>
      <c r="M721" s="58"/>
      <c r="N721" s="58"/>
      <c r="O721" s="58"/>
      <c r="P721" s="58"/>
      <c r="Q721" s="58"/>
      <c r="R721" s="58"/>
      <c r="S721" s="58"/>
    </row>
    <row r="722" spans="2:19" x14ac:dyDescent="0.15">
      <c r="B722" s="58"/>
      <c r="C722" s="58"/>
      <c r="D722" s="58"/>
      <c r="E722" s="58"/>
      <c r="F722" s="58"/>
      <c r="G722" s="58"/>
      <c r="H722" s="58"/>
      <c r="I722" s="58"/>
      <c r="J722" s="58"/>
      <c r="K722" s="58"/>
      <c r="L722" s="58"/>
      <c r="M722" s="58"/>
      <c r="N722" s="58"/>
      <c r="O722" s="58"/>
      <c r="P722" s="58"/>
      <c r="Q722" s="58"/>
      <c r="R722" s="58"/>
      <c r="S722" s="58"/>
    </row>
    <row r="723" spans="2:19" x14ac:dyDescent="0.15">
      <c r="B723" s="58"/>
      <c r="C723" s="58"/>
      <c r="D723" s="58"/>
      <c r="E723" s="58"/>
      <c r="F723" s="58"/>
      <c r="G723" s="58"/>
      <c r="H723" s="58"/>
      <c r="I723" s="58"/>
      <c r="J723" s="58"/>
      <c r="K723" s="58"/>
      <c r="L723" s="58"/>
      <c r="M723" s="58"/>
      <c r="N723" s="58"/>
      <c r="O723" s="58"/>
      <c r="P723" s="58"/>
      <c r="Q723" s="58"/>
      <c r="R723" s="58"/>
      <c r="S723" s="58"/>
    </row>
    <row r="724" spans="2:19" x14ac:dyDescent="0.15">
      <c r="B724" s="58"/>
      <c r="C724" s="58"/>
      <c r="D724" s="58"/>
      <c r="E724" s="58"/>
      <c r="F724" s="58"/>
      <c r="G724" s="58"/>
      <c r="H724" s="58"/>
      <c r="I724" s="58"/>
      <c r="J724" s="58"/>
      <c r="K724" s="58"/>
      <c r="L724" s="58"/>
      <c r="M724" s="58"/>
      <c r="N724" s="58"/>
      <c r="O724" s="58"/>
      <c r="P724" s="58"/>
      <c r="Q724" s="58"/>
      <c r="R724" s="58"/>
      <c r="S724" s="58"/>
    </row>
    <row r="725" spans="2:19" x14ac:dyDescent="0.15">
      <c r="B725" s="58"/>
      <c r="C725" s="58"/>
      <c r="D725" s="58"/>
      <c r="E725" s="58"/>
      <c r="F725" s="58"/>
      <c r="G725" s="58"/>
      <c r="H725" s="58"/>
      <c r="I725" s="58"/>
      <c r="J725" s="58"/>
      <c r="K725" s="58"/>
      <c r="L725" s="58"/>
      <c r="M725" s="58"/>
      <c r="N725" s="58"/>
      <c r="O725" s="58"/>
      <c r="P725" s="58"/>
      <c r="Q725" s="58"/>
      <c r="R725" s="58"/>
      <c r="S725" s="58"/>
    </row>
    <row r="726" spans="2:19" x14ac:dyDescent="0.15">
      <c r="B726" s="58"/>
      <c r="C726" s="58"/>
      <c r="D726" s="58"/>
      <c r="E726" s="58"/>
      <c r="F726" s="58"/>
      <c r="G726" s="58"/>
      <c r="H726" s="58"/>
      <c r="I726" s="58"/>
      <c r="J726" s="58"/>
      <c r="K726" s="58"/>
      <c r="L726" s="58"/>
      <c r="M726" s="58"/>
      <c r="N726" s="58"/>
      <c r="O726" s="58"/>
      <c r="P726" s="58"/>
      <c r="Q726" s="58"/>
      <c r="R726" s="58"/>
      <c r="S726" s="58"/>
    </row>
    <row r="727" spans="2:19" x14ac:dyDescent="0.15">
      <c r="B727" s="58"/>
      <c r="C727" s="58"/>
      <c r="D727" s="58"/>
      <c r="E727" s="58"/>
      <c r="F727" s="58"/>
      <c r="G727" s="58"/>
      <c r="H727" s="58"/>
      <c r="I727" s="58"/>
      <c r="J727" s="58"/>
      <c r="K727" s="58"/>
      <c r="L727" s="58"/>
      <c r="M727" s="58"/>
      <c r="N727" s="58"/>
      <c r="O727" s="58"/>
      <c r="P727" s="58"/>
      <c r="Q727" s="58"/>
      <c r="R727" s="58"/>
      <c r="S727" s="58"/>
    </row>
    <row r="728" spans="2:19" x14ac:dyDescent="0.15">
      <c r="B728" s="58"/>
      <c r="C728" s="58"/>
      <c r="D728" s="58"/>
      <c r="E728" s="58"/>
      <c r="F728" s="58"/>
      <c r="G728" s="58"/>
      <c r="H728" s="58"/>
      <c r="I728" s="58"/>
      <c r="J728" s="58"/>
      <c r="K728" s="58"/>
      <c r="L728" s="58"/>
      <c r="M728" s="58"/>
      <c r="N728" s="58"/>
      <c r="O728" s="58"/>
      <c r="P728" s="58"/>
      <c r="Q728" s="58"/>
      <c r="R728" s="58"/>
      <c r="S728" s="58"/>
    </row>
    <row r="729" spans="2:19" x14ac:dyDescent="0.15">
      <c r="B729" s="58"/>
      <c r="C729" s="58"/>
      <c r="D729" s="58"/>
      <c r="E729" s="58"/>
      <c r="F729" s="58"/>
      <c r="G729" s="58"/>
      <c r="H729" s="58"/>
      <c r="I729" s="58"/>
      <c r="J729" s="58"/>
      <c r="K729" s="58"/>
      <c r="L729" s="58"/>
      <c r="M729" s="58"/>
      <c r="N729" s="58"/>
      <c r="O729" s="58"/>
      <c r="P729" s="58"/>
      <c r="Q729" s="58"/>
      <c r="R729" s="58"/>
      <c r="S729" s="58"/>
    </row>
    <row r="730" spans="2:19" x14ac:dyDescent="0.15">
      <c r="B730" s="58"/>
      <c r="C730" s="58"/>
      <c r="D730" s="58"/>
      <c r="E730" s="58"/>
      <c r="F730" s="58"/>
      <c r="G730" s="58"/>
      <c r="H730" s="58"/>
      <c r="I730" s="58"/>
      <c r="J730" s="58"/>
      <c r="K730" s="58"/>
      <c r="L730" s="58"/>
      <c r="M730" s="58"/>
      <c r="N730" s="58"/>
      <c r="O730" s="58"/>
      <c r="P730" s="58"/>
      <c r="Q730" s="58"/>
      <c r="R730" s="58"/>
      <c r="S730" s="58"/>
    </row>
    <row r="731" spans="2:19" x14ac:dyDescent="0.15">
      <c r="B731" s="58"/>
      <c r="C731" s="58"/>
      <c r="D731" s="58"/>
      <c r="E731" s="58"/>
      <c r="F731" s="58"/>
      <c r="G731" s="58"/>
      <c r="H731" s="58"/>
      <c r="I731" s="58"/>
      <c r="J731" s="58"/>
      <c r="K731" s="58"/>
      <c r="L731" s="58"/>
      <c r="M731" s="58"/>
      <c r="N731" s="58"/>
      <c r="O731" s="58"/>
      <c r="P731" s="58"/>
      <c r="Q731" s="58"/>
      <c r="R731" s="58"/>
      <c r="S731" s="58"/>
    </row>
    <row r="732" spans="2:19" x14ac:dyDescent="0.15">
      <c r="B732" s="58"/>
      <c r="C732" s="58"/>
      <c r="D732" s="58"/>
      <c r="E732" s="58"/>
      <c r="F732" s="58"/>
      <c r="G732" s="58"/>
      <c r="H732" s="58"/>
      <c r="I732" s="58"/>
      <c r="J732" s="58"/>
      <c r="K732" s="58"/>
      <c r="L732" s="58"/>
      <c r="M732" s="58"/>
      <c r="N732" s="58"/>
      <c r="O732" s="58"/>
      <c r="P732" s="58"/>
      <c r="Q732" s="58"/>
      <c r="R732" s="58"/>
      <c r="S732" s="58"/>
    </row>
    <row r="733" spans="2:19" x14ac:dyDescent="0.15">
      <c r="B733" s="58"/>
      <c r="C733" s="58"/>
      <c r="D733" s="58"/>
      <c r="E733" s="58"/>
      <c r="F733" s="58"/>
      <c r="G733" s="58"/>
      <c r="H733" s="58"/>
      <c r="I733" s="58"/>
      <c r="J733" s="58"/>
      <c r="K733" s="58"/>
      <c r="L733" s="58"/>
      <c r="M733" s="58"/>
      <c r="N733" s="58"/>
      <c r="O733" s="58"/>
      <c r="P733" s="58"/>
      <c r="Q733" s="58"/>
      <c r="R733" s="58"/>
      <c r="S733" s="58"/>
    </row>
    <row r="734" spans="2:19" x14ac:dyDescent="0.15">
      <c r="B734" s="58"/>
      <c r="C734" s="58"/>
      <c r="D734" s="58"/>
      <c r="E734" s="58"/>
      <c r="F734" s="58"/>
      <c r="G734" s="58"/>
      <c r="H734" s="58"/>
      <c r="I734" s="58"/>
      <c r="J734" s="58"/>
      <c r="K734" s="58"/>
      <c r="L734" s="58"/>
      <c r="M734" s="58"/>
      <c r="N734" s="58"/>
      <c r="O734" s="58"/>
      <c r="P734" s="58"/>
      <c r="Q734" s="58"/>
      <c r="R734" s="58"/>
      <c r="S734" s="58"/>
    </row>
    <row r="735" spans="2:19" x14ac:dyDescent="0.15">
      <c r="B735" s="58"/>
      <c r="C735" s="58"/>
      <c r="D735" s="58"/>
      <c r="E735" s="58"/>
      <c r="F735" s="58"/>
      <c r="G735" s="58"/>
      <c r="H735" s="58"/>
      <c r="I735" s="58"/>
      <c r="J735" s="58"/>
      <c r="K735" s="58"/>
      <c r="L735" s="58"/>
      <c r="M735" s="58"/>
      <c r="N735" s="58"/>
      <c r="O735" s="58"/>
      <c r="P735" s="58"/>
      <c r="Q735" s="58"/>
      <c r="R735" s="58"/>
      <c r="S735" s="58"/>
    </row>
    <row r="736" spans="2:19" x14ac:dyDescent="0.15">
      <c r="B736" s="58"/>
      <c r="C736" s="58"/>
      <c r="D736" s="58"/>
      <c r="E736" s="58"/>
      <c r="F736" s="58"/>
      <c r="G736" s="58"/>
      <c r="H736" s="58"/>
      <c r="I736" s="58"/>
      <c r="J736" s="58"/>
      <c r="K736" s="58"/>
      <c r="L736" s="58"/>
      <c r="M736" s="58"/>
      <c r="N736" s="58"/>
      <c r="O736" s="58"/>
      <c r="P736" s="58"/>
      <c r="Q736" s="58"/>
      <c r="R736" s="58"/>
      <c r="S736" s="58"/>
    </row>
    <row r="737" spans="2:19" x14ac:dyDescent="0.15">
      <c r="B737" s="58"/>
      <c r="C737" s="58"/>
      <c r="D737" s="58"/>
      <c r="E737" s="58"/>
      <c r="F737" s="58"/>
      <c r="G737" s="58"/>
      <c r="H737" s="58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</row>
    <row r="738" spans="2:19" x14ac:dyDescent="0.15">
      <c r="B738" s="58"/>
      <c r="C738" s="58"/>
      <c r="D738" s="58"/>
      <c r="E738" s="58"/>
      <c r="F738" s="58"/>
      <c r="G738" s="58"/>
      <c r="H738" s="58"/>
      <c r="I738" s="58"/>
      <c r="J738" s="58"/>
      <c r="K738" s="58"/>
      <c r="L738" s="58"/>
      <c r="M738" s="58"/>
      <c r="N738" s="58"/>
      <c r="O738" s="58"/>
      <c r="P738" s="58"/>
      <c r="Q738" s="58"/>
      <c r="R738" s="58"/>
      <c r="S738" s="58"/>
    </row>
    <row r="739" spans="2:19" x14ac:dyDescent="0.15">
      <c r="B739" s="58"/>
      <c r="C739" s="58"/>
      <c r="D739" s="58"/>
      <c r="E739" s="58"/>
      <c r="F739" s="58"/>
      <c r="G739" s="58"/>
      <c r="H739" s="58"/>
      <c r="I739" s="58"/>
      <c r="J739" s="58"/>
      <c r="K739" s="58"/>
      <c r="L739" s="58"/>
      <c r="M739" s="58"/>
      <c r="N739" s="58"/>
      <c r="O739" s="58"/>
      <c r="P739" s="58"/>
      <c r="Q739" s="58"/>
      <c r="R739" s="58"/>
      <c r="S739" s="58"/>
    </row>
    <row r="740" spans="2:19" x14ac:dyDescent="0.15">
      <c r="B740" s="58"/>
      <c r="C740" s="58"/>
      <c r="D740" s="58"/>
      <c r="E740" s="58"/>
      <c r="F740" s="58"/>
      <c r="G740" s="58"/>
      <c r="H740" s="58"/>
      <c r="I740" s="58"/>
      <c r="J740" s="58"/>
      <c r="K740" s="58"/>
      <c r="L740" s="58"/>
      <c r="M740" s="58"/>
      <c r="N740" s="58"/>
      <c r="O740" s="58"/>
      <c r="P740" s="58"/>
      <c r="Q740" s="58"/>
      <c r="R740" s="58"/>
      <c r="S740" s="58"/>
    </row>
    <row r="741" spans="2:19" x14ac:dyDescent="0.15">
      <c r="B741" s="58"/>
      <c r="C741" s="58"/>
      <c r="D741" s="58"/>
      <c r="E741" s="58"/>
      <c r="F741" s="58"/>
      <c r="G741" s="58"/>
      <c r="H741" s="58"/>
      <c r="I741" s="58"/>
      <c r="J741" s="58"/>
      <c r="K741" s="58"/>
      <c r="L741" s="58"/>
      <c r="M741" s="58"/>
      <c r="N741" s="58"/>
      <c r="O741" s="58"/>
      <c r="P741" s="58"/>
      <c r="Q741" s="58"/>
      <c r="R741" s="58"/>
      <c r="S741" s="58"/>
    </row>
    <row r="742" spans="2:19" x14ac:dyDescent="0.15">
      <c r="B742" s="58"/>
      <c r="C742" s="58"/>
      <c r="D742" s="58"/>
      <c r="E742" s="58"/>
      <c r="F742" s="58"/>
      <c r="G742" s="58"/>
      <c r="H742" s="58"/>
      <c r="I742" s="58"/>
      <c r="J742" s="58"/>
      <c r="K742" s="58"/>
      <c r="L742" s="58"/>
      <c r="M742" s="58"/>
      <c r="N742" s="58"/>
      <c r="O742" s="58"/>
      <c r="P742" s="58"/>
      <c r="Q742" s="58"/>
      <c r="R742" s="58"/>
      <c r="S742" s="58"/>
    </row>
    <row r="743" spans="2:19" x14ac:dyDescent="0.15">
      <c r="B743" s="58"/>
      <c r="C743" s="58"/>
      <c r="D743" s="58"/>
      <c r="E743" s="58"/>
      <c r="F743" s="58"/>
      <c r="G743" s="58"/>
      <c r="H743" s="58"/>
      <c r="I743" s="58"/>
      <c r="J743" s="58"/>
      <c r="K743" s="58"/>
      <c r="L743" s="58"/>
      <c r="M743" s="58"/>
      <c r="N743" s="58"/>
      <c r="O743" s="58"/>
      <c r="P743" s="58"/>
      <c r="Q743" s="58"/>
      <c r="R743" s="58"/>
      <c r="S743" s="58"/>
    </row>
    <row r="744" spans="2:19" x14ac:dyDescent="0.15">
      <c r="B744" s="58"/>
      <c r="C744" s="58"/>
      <c r="D744" s="58"/>
      <c r="E744" s="58"/>
      <c r="F744" s="58"/>
      <c r="G744" s="58"/>
      <c r="H744" s="58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</row>
    <row r="745" spans="2:19" x14ac:dyDescent="0.15">
      <c r="B745" s="58"/>
      <c r="C745" s="58"/>
      <c r="D745" s="58"/>
      <c r="E745" s="58"/>
      <c r="F745" s="58"/>
      <c r="G745" s="58"/>
      <c r="H745" s="58"/>
      <c r="I745" s="58"/>
      <c r="J745" s="58"/>
      <c r="K745" s="58"/>
      <c r="L745" s="58"/>
      <c r="M745" s="58"/>
      <c r="N745" s="58"/>
      <c r="O745" s="58"/>
      <c r="P745" s="58"/>
      <c r="Q745" s="58"/>
      <c r="R745" s="58"/>
      <c r="S745" s="58"/>
    </row>
    <row r="746" spans="2:19" x14ac:dyDescent="0.15">
      <c r="B746" s="58"/>
      <c r="C746" s="58"/>
      <c r="D746" s="58"/>
      <c r="E746" s="58"/>
      <c r="F746" s="58"/>
      <c r="G746" s="58"/>
      <c r="H746" s="58"/>
      <c r="I746" s="58"/>
      <c r="J746" s="58"/>
      <c r="K746" s="58"/>
      <c r="L746" s="58"/>
      <c r="M746" s="58"/>
      <c r="N746" s="58"/>
      <c r="O746" s="58"/>
      <c r="P746" s="58"/>
      <c r="Q746" s="58"/>
      <c r="R746" s="58"/>
      <c r="S746" s="58"/>
    </row>
    <row r="747" spans="2:19" x14ac:dyDescent="0.15">
      <c r="B747" s="58"/>
      <c r="C747" s="58"/>
      <c r="D747" s="58"/>
      <c r="E747" s="58"/>
      <c r="F747" s="58"/>
      <c r="G747" s="58"/>
      <c r="H747" s="58"/>
      <c r="I747" s="58"/>
      <c r="J747" s="58"/>
      <c r="K747" s="58"/>
      <c r="L747" s="58"/>
      <c r="M747" s="58"/>
      <c r="N747" s="58"/>
      <c r="O747" s="58"/>
      <c r="P747" s="58"/>
      <c r="Q747" s="58"/>
      <c r="R747" s="58"/>
      <c r="S747" s="58"/>
    </row>
    <row r="748" spans="2:19" x14ac:dyDescent="0.15">
      <c r="B748" s="58"/>
      <c r="C748" s="58"/>
      <c r="D748" s="58"/>
      <c r="E748" s="58"/>
      <c r="F748" s="58"/>
      <c r="G748" s="58"/>
      <c r="H748" s="58"/>
      <c r="I748" s="58"/>
      <c r="J748" s="58"/>
      <c r="K748" s="58"/>
      <c r="L748" s="58"/>
      <c r="M748" s="58"/>
      <c r="N748" s="58"/>
      <c r="O748" s="58"/>
      <c r="P748" s="58"/>
      <c r="Q748" s="58"/>
      <c r="R748" s="58"/>
      <c r="S748" s="58"/>
    </row>
    <row r="749" spans="2:19" x14ac:dyDescent="0.15">
      <c r="B749" s="58"/>
      <c r="C749" s="58"/>
      <c r="D749" s="58"/>
      <c r="E749" s="58"/>
      <c r="F749" s="58"/>
      <c r="G749" s="58"/>
      <c r="H749" s="58"/>
      <c r="I749" s="58"/>
      <c r="J749" s="58"/>
      <c r="K749" s="58"/>
      <c r="L749" s="58"/>
      <c r="M749" s="58"/>
      <c r="N749" s="58"/>
      <c r="O749" s="58"/>
      <c r="P749" s="58"/>
      <c r="Q749" s="58"/>
      <c r="R749" s="58"/>
      <c r="S749" s="58"/>
    </row>
    <row r="750" spans="2:19" x14ac:dyDescent="0.15">
      <c r="B750" s="58"/>
      <c r="C750" s="58"/>
      <c r="D750" s="58"/>
      <c r="E750" s="58"/>
      <c r="F750" s="58"/>
      <c r="G750" s="58"/>
      <c r="H750" s="58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</row>
    <row r="751" spans="2:19" x14ac:dyDescent="0.15">
      <c r="B751" s="58"/>
      <c r="C751" s="58"/>
      <c r="D751" s="58"/>
      <c r="E751" s="58"/>
      <c r="F751" s="58"/>
      <c r="G751" s="58"/>
      <c r="H751" s="58"/>
      <c r="I751" s="58"/>
      <c r="J751" s="58"/>
      <c r="K751" s="58"/>
      <c r="L751" s="58"/>
      <c r="M751" s="58"/>
      <c r="N751" s="58"/>
      <c r="O751" s="58"/>
      <c r="P751" s="58"/>
      <c r="Q751" s="58"/>
      <c r="R751" s="58"/>
      <c r="S751" s="58"/>
    </row>
    <row r="752" spans="2:19" x14ac:dyDescent="0.15">
      <c r="B752" s="58"/>
      <c r="C752" s="58"/>
      <c r="D752" s="58"/>
      <c r="E752" s="58"/>
      <c r="F752" s="58"/>
      <c r="G752" s="58"/>
      <c r="H752" s="58"/>
      <c r="I752" s="58"/>
      <c r="J752" s="58"/>
      <c r="K752" s="58"/>
      <c r="L752" s="58"/>
      <c r="M752" s="58"/>
      <c r="N752" s="58"/>
      <c r="O752" s="58"/>
      <c r="P752" s="58"/>
      <c r="Q752" s="58"/>
      <c r="R752" s="58"/>
      <c r="S752" s="58"/>
    </row>
    <row r="753" spans="2:19" x14ac:dyDescent="0.15">
      <c r="B753" s="58"/>
      <c r="C753" s="58"/>
      <c r="D753" s="58"/>
      <c r="E753" s="58"/>
      <c r="F753" s="58"/>
      <c r="G753" s="58"/>
      <c r="H753" s="58"/>
      <c r="I753" s="58"/>
      <c r="J753" s="58"/>
      <c r="K753" s="58"/>
      <c r="L753" s="58"/>
      <c r="M753" s="58"/>
      <c r="N753" s="58"/>
      <c r="O753" s="58"/>
      <c r="P753" s="58"/>
      <c r="Q753" s="58"/>
      <c r="R753" s="58"/>
      <c r="S753" s="58"/>
    </row>
    <row r="754" spans="2:19" x14ac:dyDescent="0.15">
      <c r="B754" s="58"/>
      <c r="C754" s="58"/>
      <c r="D754" s="58"/>
      <c r="E754" s="58"/>
      <c r="F754" s="58"/>
      <c r="G754" s="58"/>
      <c r="H754" s="58"/>
      <c r="I754" s="58"/>
      <c r="J754" s="58"/>
      <c r="K754" s="58"/>
      <c r="L754" s="58"/>
      <c r="M754" s="58"/>
      <c r="N754" s="58"/>
      <c r="O754" s="58"/>
      <c r="P754" s="58"/>
      <c r="Q754" s="58"/>
      <c r="R754" s="58"/>
      <c r="S754" s="58"/>
    </row>
    <row r="755" spans="2:19" x14ac:dyDescent="0.15">
      <c r="B755" s="58"/>
      <c r="C755" s="58"/>
      <c r="D755" s="58"/>
      <c r="E755" s="58"/>
      <c r="F755" s="58"/>
      <c r="G755" s="58"/>
      <c r="H755" s="58"/>
      <c r="I755" s="58"/>
      <c r="J755" s="58"/>
      <c r="K755" s="58"/>
      <c r="L755" s="58"/>
      <c r="M755" s="58"/>
      <c r="N755" s="58"/>
      <c r="O755" s="58"/>
      <c r="P755" s="58"/>
      <c r="Q755" s="58"/>
      <c r="R755" s="58"/>
      <c r="S755" s="58"/>
    </row>
    <row r="756" spans="2:19" x14ac:dyDescent="0.15">
      <c r="B756" s="58"/>
      <c r="C756" s="58"/>
      <c r="D756" s="58"/>
      <c r="E756" s="58"/>
      <c r="F756" s="58"/>
      <c r="G756" s="58"/>
      <c r="H756" s="58"/>
      <c r="I756" s="58"/>
      <c r="J756" s="58"/>
      <c r="K756" s="58"/>
      <c r="L756" s="58"/>
      <c r="M756" s="58"/>
      <c r="N756" s="58"/>
      <c r="O756" s="58"/>
      <c r="P756" s="58"/>
      <c r="Q756" s="58"/>
      <c r="R756" s="58"/>
      <c r="S756" s="58"/>
    </row>
    <row r="757" spans="2:19" x14ac:dyDescent="0.15">
      <c r="B757" s="58"/>
      <c r="C757" s="58"/>
      <c r="D757" s="58"/>
      <c r="E757" s="58"/>
      <c r="F757" s="58"/>
      <c r="G757" s="58"/>
      <c r="H757" s="58"/>
      <c r="I757" s="58"/>
      <c r="J757" s="58"/>
      <c r="K757" s="58"/>
      <c r="L757" s="58"/>
      <c r="M757" s="58"/>
      <c r="N757" s="58"/>
      <c r="O757" s="58"/>
      <c r="P757" s="58"/>
      <c r="Q757" s="58"/>
      <c r="R757" s="58"/>
      <c r="S757" s="58"/>
    </row>
    <row r="758" spans="2:19" x14ac:dyDescent="0.15">
      <c r="B758" s="58"/>
      <c r="C758" s="58"/>
      <c r="D758" s="58"/>
      <c r="E758" s="58"/>
      <c r="F758" s="58"/>
      <c r="G758" s="58"/>
      <c r="H758" s="58"/>
      <c r="I758" s="58"/>
      <c r="J758" s="58"/>
      <c r="K758" s="58"/>
      <c r="L758" s="58"/>
      <c r="M758" s="58"/>
      <c r="N758" s="58"/>
      <c r="O758" s="58"/>
      <c r="P758" s="58"/>
      <c r="Q758" s="58"/>
      <c r="R758" s="58"/>
      <c r="S758" s="58"/>
    </row>
    <row r="759" spans="2:19" x14ac:dyDescent="0.15">
      <c r="B759" s="58"/>
      <c r="C759" s="58"/>
      <c r="D759" s="58"/>
      <c r="E759" s="58"/>
      <c r="F759" s="58"/>
      <c r="G759" s="58"/>
      <c r="H759" s="58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</row>
    <row r="760" spans="2:19" x14ac:dyDescent="0.15">
      <c r="B760" s="58"/>
      <c r="C760" s="58"/>
      <c r="D760" s="58"/>
      <c r="E760" s="58"/>
      <c r="F760" s="58"/>
      <c r="G760" s="58"/>
      <c r="H760" s="58"/>
      <c r="I760" s="58"/>
      <c r="J760" s="58"/>
      <c r="K760" s="58"/>
      <c r="L760" s="58"/>
      <c r="M760" s="58"/>
      <c r="N760" s="58"/>
      <c r="O760" s="58"/>
      <c r="P760" s="58"/>
      <c r="Q760" s="58"/>
      <c r="R760" s="58"/>
      <c r="S760" s="58"/>
    </row>
    <row r="761" spans="2:19" x14ac:dyDescent="0.15">
      <c r="B761" s="58"/>
      <c r="C761" s="58"/>
      <c r="D761" s="58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</row>
    <row r="762" spans="2:19" x14ac:dyDescent="0.15">
      <c r="B762" s="58"/>
      <c r="C762" s="58"/>
      <c r="D762" s="58"/>
      <c r="E762" s="58"/>
      <c r="F762" s="58"/>
      <c r="G762" s="58"/>
      <c r="H762" s="58"/>
      <c r="I762" s="58"/>
      <c r="J762" s="58"/>
      <c r="K762" s="58"/>
      <c r="L762" s="58"/>
      <c r="M762" s="58"/>
      <c r="N762" s="58"/>
      <c r="O762" s="58"/>
      <c r="P762" s="58"/>
      <c r="Q762" s="58"/>
      <c r="R762" s="58"/>
      <c r="S762" s="58"/>
    </row>
    <row r="763" spans="2:19" x14ac:dyDescent="0.15">
      <c r="B763" s="58"/>
      <c r="C763" s="58"/>
      <c r="D763" s="58"/>
      <c r="E763" s="58"/>
      <c r="F763" s="58"/>
      <c r="G763" s="58"/>
      <c r="H763" s="58"/>
      <c r="I763" s="58"/>
      <c r="J763" s="58"/>
      <c r="K763" s="58"/>
      <c r="L763" s="58"/>
      <c r="M763" s="58"/>
      <c r="N763" s="58"/>
      <c r="O763" s="58"/>
      <c r="P763" s="58"/>
      <c r="Q763" s="58"/>
      <c r="R763" s="58"/>
      <c r="S763" s="58"/>
    </row>
    <row r="764" spans="2:19" x14ac:dyDescent="0.15">
      <c r="B764" s="58"/>
      <c r="C764" s="58"/>
      <c r="D764" s="58"/>
      <c r="E764" s="58"/>
      <c r="F764" s="58"/>
      <c r="G764" s="58"/>
      <c r="H764" s="58"/>
      <c r="I764" s="58"/>
      <c r="J764" s="58"/>
      <c r="K764" s="58"/>
      <c r="L764" s="58"/>
      <c r="M764" s="58"/>
      <c r="N764" s="58"/>
      <c r="O764" s="58"/>
      <c r="P764" s="58"/>
      <c r="Q764" s="58"/>
      <c r="R764" s="58"/>
      <c r="S764" s="58"/>
    </row>
    <row r="765" spans="2:19" x14ac:dyDescent="0.15">
      <c r="B765" s="58"/>
      <c r="C765" s="58"/>
      <c r="D765" s="58"/>
      <c r="E765" s="58"/>
      <c r="F765" s="58"/>
      <c r="G765" s="58"/>
      <c r="H765" s="58"/>
      <c r="I765" s="58"/>
      <c r="J765" s="58"/>
      <c r="K765" s="58"/>
      <c r="L765" s="58"/>
      <c r="M765" s="58"/>
      <c r="N765" s="58"/>
      <c r="O765" s="58"/>
      <c r="P765" s="58"/>
      <c r="Q765" s="58"/>
      <c r="R765" s="58"/>
      <c r="S765" s="58"/>
    </row>
    <row r="766" spans="2:19" x14ac:dyDescent="0.15">
      <c r="B766" s="58"/>
      <c r="C766" s="58"/>
      <c r="D766" s="58"/>
      <c r="E766" s="58"/>
      <c r="F766" s="58"/>
      <c r="G766" s="58"/>
      <c r="H766" s="58"/>
      <c r="I766" s="58"/>
      <c r="J766" s="58"/>
      <c r="K766" s="58"/>
      <c r="L766" s="58"/>
      <c r="M766" s="58"/>
      <c r="N766" s="58"/>
      <c r="O766" s="58"/>
      <c r="P766" s="58"/>
      <c r="Q766" s="58"/>
      <c r="R766" s="58"/>
      <c r="S766" s="58"/>
    </row>
    <row r="767" spans="2:19" x14ac:dyDescent="0.15">
      <c r="B767" s="58"/>
      <c r="C767" s="58"/>
      <c r="D767" s="58"/>
      <c r="E767" s="58"/>
      <c r="F767" s="58"/>
      <c r="G767" s="58"/>
      <c r="H767" s="58"/>
      <c r="I767" s="58"/>
      <c r="J767" s="58"/>
      <c r="K767" s="58"/>
      <c r="L767" s="58"/>
      <c r="M767" s="58"/>
      <c r="N767" s="58"/>
      <c r="O767" s="58"/>
      <c r="P767" s="58"/>
      <c r="Q767" s="58"/>
      <c r="R767" s="58"/>
      <c r="S767" s="58"/>
    </row>
    <row r="768" spans="2:19" x14ac:dyDescent="0.15">
      <c r="B768" s="58"/>
      <c r="C768" s="58"/>
      <c r="D768" s="58"/>
      <c r="E768" s="58"/>
      <c r="F768" s="58"/>
      <c r="G768" s="58"/>
      <c r="H768" s="58"/>
      <c r="I768" s="58"/>
      <c r="J768" s="58"/>
      <c r="K768" s="58"/>
      <c r="L768" s="58"/>
      <c r="M768" s="58"/>
      <c r="N768" s="58"/>
      <c r="O768" s="58"/>
      <c r="P768" s="58"/>
      <c r="Q768" s="58"/>
      <c r="R768" s="58"/>
      <c r="S768" s="58"/>
    </row>
    <row r="769" spans="2:19" x14ac:dyDescent="0.15">
      <c r="B769" s="58"/>
      <c r="C769" s="58"/>
      <c r="D769" s="58"/>
      <c r="E769" s="58"/>
      <c r="F769" s="58"/>
      <c r="G769" s="58"/>
      <c r="H769" s="58"/>
      <c r="I769" s="58"/>
      <c r="J769" s="58"/>
      <c r="K769" s="58"/>
      <c r="L769" s="58"/>
      <c r="M769" s="58"/>
      <c r="N769" s="58"/>
      <c r="O769" s="58"/>
      <c r="P769" s="58"/>
      <c r="Q769" s="58"/>
      <c r="R769" s="58"/>
      <c r="S769" s="58"/>
    </row>
    <row r="770" spans="2:19" x14ac:dyDescent="0.15">
      <c r="B770" s="58"/>
      <c r="C770" s="58"/>
      <c r="D770" s="58"/>
      <c r="E770" s="58"/>
      <c r="F770" s="58"/>
      <c r="G770" s="58"/>
      <c r="H770" s="58"/>
      <c r="I770" s="58"/>
      <c r="J770" s="58"/>
      <c r="K770" s="58"/>
      <c r="L770" s="58"/>
      <c r="M770" s="58"/>
      <c r="N770" s="58"/>
      <c r="O770" s="58"/>
      <c r="P770" s="58"/>
      <c r="Q770" s="58"/>
      <c r="R770" s="58"/>
      <c r="S770" s="58"/>
    </row>
    <row r="771" spans="2:19" x14ac:dyDescent="0.15">
      <c r="B771" s="58"/>
      <c r="C771" s="58"/>
      <c r="D771" s="58"/>
      <c r="E771" s="58"/>
      <c r="F771" s="58"/>
      <c r="G771" s="58"/>
      <c r="H771" s="58"/>
      <c r="I771" s="58"/>
      <c r="J771" s="58"/>
      <c r="K771" s="58"/>
      <c r="L771" s="58"/>
      <c r="M771" s="58"/>
      <c r="N771" s="58"/>
      <c r="O771" s="58"/>
      <c r="P771" s="58"/>
      <c r="Q771" s="58"/>
      <c r="R771" s="58"/>
      <c r="S771" s="58"/>
    </row>
    <row r="772" spans="2:19" x14ac:dyDescent="0.15">
      <c r="B772" s="58"/>
      <c r="C772" s="58"/>
      <c r="D772" s="58"/>
      <c r="E772" s="58"/>
      <c r="F772" s="58"/>
      <c r="G772" s="58"/>
      <c r="H772" s="58"/>
      <c r="I772" s="58"/>
      <c r="J772" s="58"/>
      <c r="K772" s="58"/>
      <c r="L772" s="58"/>
      <c r="M772" s="58"/>
      <c r="N772" s="58"/>
      <c r="O772" s="58"/>
      <c r="P772" s="58"/>
      <c r="Q772" s="58"/>
      <c r="R772" s="58"/>
      <c r="S772" s="58"/>
    </row>
    <row r="773" spans="2:19" x14ac:dyDescent="0.15">
      <c r="B773" s="58"/>
      <c r="C773" s="58"/>
      <c r="D773" s="58"/>
      <c r="E773" s="58"/>
      <c r="F773" s="58"/>
      <c r="G773" s="58"/>
      <c r="H773" s="58"/>
      <c r="I773" s="58"/>
      <c r="J773" s="58"/>
      <c r="K773" s="58"/>
      <c r="L773" s="58"/>
      <c r="M773" s="58"/>
      <c r="N773" s="58"/>
      <c r="O773" s="58"/>
      <c r="P773" s="58"/>
      <c r="Q773" s="58"/>
      <c r="R773" s="58"/>
      <c r="S773" s="58"/>
    </row>
    <row r="774" spans="2:19" x14ac:dyDescent="0.15">
      <c r="B774" s="58"/>
      <c r="C774" s="58"/>
      <c r="D774" s="58"/>
      <c r="E774" s="58"/>
      <c r="F774" s="58"/>
      <c r="G774" s="58"/>
      <c r="H774" s="58"/>
      <c r="I774" s="58"/>
      <c r="J774" s="58"/>
      <c r="K774" s="58"/>
      <c r="L774" s="58"/>
      <c r="M774" s="58"/>
      <c r="N774" s="58"/>
      <c r="O774" s="58"/>
      <c r="P774" s="58"/>
      <c r="Q774" s="58"/>
      <c r="R774" s="58"/>
      <c r="S774" s="58"/>
    </row>
    <row r="775" spans="2:19" x14ac:dyDescent="0.15">
      <c r="B775" s="58"/>
      <c r="C775" s="58"/>
      <c r="D775" s="58"/>
      <c r="E775" s="58"/>
      <c r="F775" s="58"/>
      <c r="G775" s="58"/>
      <c r="H775" s="58"/>
      <c r="I775" s="58"/>
      <c r="J775" s="58"/>
      <c r="K775" s="58"/>
      <c r="L775" s="58"/>
      <c r="M775" s="58"/>
      <c r="N775" s="58"/>
      <c r="O775" s="58"/>
      <c r="P775" s="58"/>
      <c r="Q775" s="58"/>
      <c r="R775" s="58"/>
      <c r="S775" s="58"/>
    </row>
    <row r="776" spans="2:19" x14ac:dyDescent="0.15">
      <c r="B776" s="58"/>
      <c r="C776" s="58"/>
      <c r="D776" s="58"/>
      <c r="E776" s="58"/>
      <c r="F776" s="58"/>
      <c r="G776" s="58"/>
      <c r="H776" s="58"/>
      <c r="I776" s="58"/>
      <c r="J776" s="58"/>
      <c r="K776" s="58"/>
      <c r="L776" s="58"/>
      <c r="M776" s="58"/>
      <c r="N776" s="58"/>
      <c r="O776" s="58"/>
      <c r="P776" s="58"/>
      <c r="Q776" s="58"/>
      <c r="R776" s="58"/>
      <c r="S776" s="58"/>
    </row>
    <row r="777" spans="2:19" x14ac:dyDescent="0.15">
      <c r="B777" s="58"/>
      <c r="C777" s="58"/>
      <c r="D777" s="58"/>
      <c r="E777" s="58"/>
      <c r="F777" s="58"/>
      <c r="G777" s="58"/>
      <c r="H777" s="58"/>
      <c r="I777" s="58"/>
      <c r="J777" s="58"/>
      <c r="K777" s="58"/>
      <c r="L777" s="58"/>
      <c r="M777" s="58"/>
      <c r="N777" s="58"/>
      <c r="O777" s="58"/>
      <c r="P777" s="58"/>
      <c r="Q777" s="58"/>
      <c r="R777" s="58"/>
      <c r="S777" s="58"/>
    </row>
    <row r="778" spans="2:19" x14ac:dyDescent="0.15">
      <c r="B778" s="58"/>
      <c r="C778" s="58"/>
      <c r="D778" s="58"/>
      <c r="E778" s="58"/>
      <c r="F778" s="58"/>
      <c r="G778" s="58"/>
      <c r="H778" s="58"/>
      <c r="I778" s="58"/>
      <c r="J778" s="58"/>
      <c r="K778" s="58"/>
      <c r="L778" s="58"/>
      <c r="M778" s="58"/>
      <c r="N778" s="58"/>
      <c r="O778" s="58"/>
      <c r="P778" s="58"/>
      <c r="Q778" s="58"/>
      <c r="R778" s="58"/>
      <c r="S778" s="58"/>
    </row>
    <row r="779" spans="2:19" x14ac:dyDescent="0.15">
      <c r="B779" s="58"/>
      <c r="C779" s="58"/>
      <c r="D779" s="58"/>
      <c r="E779" s="58"/>
      <c r="F779" s="58"/>
      <c r="G779" s="58"/>
      <c r="H779" s="58"/>
      <c r="I779" s="58"/>
      <c r="J779" s="58"/>
      <c r="K779" s="58"/>
      <c r="L779" s="58"/>
      <c r="M779" s="58"/>
      <c r="N779" s="58"/>
      <c r="O779" s="58"/>
      <c r="P779" s="58"/>
      <c r="Q779" s="58"/>
      <c r="R779" s="58"/>
      <c r="S779" s="58"/>
    </row>
    <row r="780" spans="2:19" x14ac:dyDescent="0.15">
      <c r="B780" s="58"/>
      <c r="C780" s="58"/>
      <c r="D780" s="58"/>
      <c r="E780" s="58"/>
      <c r="F780" s="58"/>
      <c r="G780" s="58"/>
      <c r="H780" s="58"/>
      <c r="I780" s="58"/>
      <c r="J780" s="58"/>
      <c r="K780" s="58"/>
      <c r="L780" s="58"/>
      <c r="M780" s="58"/>
      <c r="N780" s="58"/>
      <c r="O780" s="58"/>
      <c r="P780" s="58"/>
      <c r="Q780" s="58"/>
      <c r="R780" s="58"/>
      <c r="S780" s="58"/>
    </row>
    <row r="781" spans="2:19" x14ac:dyDescent="0.15">
      <c r="B781" s="58"/>
      <c r="C781" s="58"/>
      <c r="D781" s="58"/>
      <c r="E781" s="58"/>
      <c r="F781" s="58"/>
      <c r="G781" s="58"/>
      <c r="H781" s="58"/>
      <c r="I781" s="58"/>
      <c r="J781" s="58"/>
      <c r="K781" s="58"/>
      <c r="L781" s="58"/>
      <c r="M781" s="58"/>
      <c r="N781" s="58"/>
      <c r="O781" s="58"/>
      <c r="P781" s="58"/>
      <c r="Q781" s="58"/>
      <c r="R781" s="58"/>
      <c r="S781" s="58"/>
    </row>
    <row r="782" spans="2:19" x14ac:dyDescent="0.15">
      <c r="B782" s="58"/>
      <c r="C782" s="58"/>
      <c r="D782" s="58"/>
      <c r="E782" s="58"/>
      <c r="F782" s="58"/>
      <c r="G782" s="58"/>
      <c r="H782" s="58"/>
      <c r="I782" s="58"/>
      <c r="J782" s="58"/>
      <c r="K782" s="58"/>
      <c r="L782" s="58"/>
      <c r="M782" s="58"/>
      <c r="N782" s="58"/>
      <c r="O782" s="58"/>
      <c r="P782" s="58"/>
      <c r="Q782" s="58"/>
      <c r="R782" s="58"/>
      <c r="S782" s="58"/>
    </row>
    <row r="783" spans="2:19" x14ac:dyDescent="0.15">
      <c r="B783" s="58"/>
      <c r="C783" s="58"/>
      <c r="D783" s="58"/>
      <c r="E783" s="58"/>
      <c r="F783" s="58"/>
      <c r="G783" s="58"/>
      <c r="H783" s="58"/>
      <c r="I783" s="58"/>
      <c r="J783" s="58"/>
      <c r="K783" s="58"/>
      <c r="L783" s="58"/>
      <c r="M783" s="58"/>
      <c r="N783" s="58"/>
      <c r="O783" s="58"/>
      <c r="P783" s="58"/>
      <c r="Q783" s="58"/>
      <c r="R783" s="58"/>
      <c r="S783" s="58"/>
    </row>
    <row r="784" spans="2:19" x14ac:dyDescent="0.15">
      <c r="B784" s="58"/>
      <c r="C784" s="58"/>
      <c r="D784" s="58"/>
      <c r="E784" s="58"/>
      <c r="F784" s="58"/>
      <c r="G784" s="58"/>
      <c r="H784" s="58"/>
      <c r="I784" s="58"/>
      <c r="J784" s="58"/>
      <c r="K784" s="58"/>
      <c r="L784" s="58"/>
      <c r="M784" s="58"/>
      <c r="N784" s="58"/>
      <c r="O784" s="58"/>
      <c r="P784" s="58"/>
      <c r="Q784" s="58"/>
      <c r="R784" s="58"/>
      <c r="S784" s="58"/>
    </row>
    <row r="785" spans="2:19" x14ac:dyDescent="0.15">
      <c r="B785" s="58"/>
      <c r="C785" s="58"/>
      <c r="D785" s="58"/>
      <c r="E785" s="58"/>
      <c r="F785" s="58"/>
      <c r="G785" s="58"/>
      <c r="H785" s="58"/>
      <c r="I785" s="58"/>
      <c r="J785" s="58"/>
      <c r="K785" s="58"/>
      <c r="L785" s="58"/>
      <c r="M785" s="58"/>
      <c r="N785" s="58"/>
      <c r="O785" s="58"/>
      <c r="P785" s="58"/>
      <c r="Q785" s="58"/>
      <c r="R785" s="58"/>
      <c r="S785" s="58"/>
    </row>
    <row r="786" spans="2:19" x14ac:dyDescent="0.15">
      <c r="B786" s="58"/>
      <c r="C786" s="58"/>
      <c r="D786" s="58"/>
      <c r="E786" s="58"/>
      <c r="F786" s="58"/>
      <c r="G786" s="58"/>
      <c r="H786" s="58"/>
      <c r="I786" s="58"/>
      <c r="J786" s="58"/>
      <c r="K786" s="58"/>
      <c r="L786" s="58"/>
      <c r="M786" s="58"/>
      <c r="N786" s="58"/>
      <c r="O786" s="58"/>
      <c r="P786" s="58"/>
      <c r="Q786" s="58"/>
      <c r="R786" s="58"/>
      <c r="S786" s="58"/>
    </row>
    <row r="787" spans="2:19" x14ac:dyDescent="0.15">
      <c r="B787" s="58"/>
      <c r="C787" s="58"/>
      <c r="D787" s="58"/>
      <c r="E787" s="58"/>
      <c r="F787" s="58"/>
      <c r="G787" s="58"/>
      <c r="H787" s="58"/>
      <c r="I787" s="58"/>
      <c r="J787" s="58"/>
      <c r="K787" s="58"/>
      <c r="L787" s="58"/>
      <c r="M787" s="58"/>
      <c r="N787" s="58"/>
      <c r="O787" s="58"/>
      <c r="P787" s="58"/>
      <c r="Q787" s="58"/>
      <c r="R787" s="58"/>
      <c r="S787" s="58"/>
    </row>
    <row r="788" spans="2:19" x14ac:dyDescent="0.15">
      <c r="B788" s="58"/>
      <c r="C788" s="58"/>
      <c r="D788" s="58"/>
      <c r="E788" s="58"/>
      <c r="F788" s="58"/>
      <c r="G788" s="58"/>
      <c r="H788" s="58"/>
      <c r="I788" s="58"/>
      <c r="J788" s="58"/>
      <c r="K788" s="58"/>
      <c r="L788" s="58"/>
      <c r="M788" s="58"/>
      <c r="N788" s="58"/>
      <c r="O788" s="58"/>
      <c r="P788" s="58"/>
      <c r="Q788" s="58"/>
      <c r="R788" s="58"/>
      <c r="S788" s="58"/>
    </row>
    <row r="789" spans="2:19" x14ac:dyDescent="0.15">
      <c r="B789" s="58"/>
      <c r="C789" s="58"/>
      <c r="D789" s="58"/>
      <c r="E789" s="58"/>
      <c r="F789" s="58"/>
      <c r="G789" s="58"/>
      <c r="H789" s="58"/>
      <c r="I789" s="58"/>
      <c r="J789" s="58"/>
      <c r="K789" s="58"/>
      <c r="L789" s="58"/>
      <c r="M789" s="58"/>
      <c r="N789" s="58"/>
      <c r="O789" s="58"/>
      <c r="P789" s="58"/>
      <c r="Q789" s="58"/>
      <c r="R789" s="58"/>
      <c r="S789" s="58"/>
    </row>
    <row r="790" spans="2:19" x14ac:dyDescent="0.15">
      <c r="B790" s="58"/>
      <c r="C790" s="58"/>
      <c r="D790" s="58"/>
      <c r="E790" s="58"/>
      <c r="F790" s="58"/>
      <c r="G790" s="58"/>
      <c r="H790" s="58"/>
      <c r="I790" s="58"/>
      <c r="J790" s="58"/>
      <c r="K790" s="58"/>
      <c r="L790" s="58"/>
      <c r="M790" s="58"/>
      <c r="N790" s="58"/>
      <c r="O790" s="58"/>
      <c r="P790" s="58"/>
      <c r="Q790" s="58"/>
      <c r="R790" s="58"/>
      <c r="S790" s="58"/>
    </row>
    <row r="791" spans="2:19" x14ac:dyDescent="0.15">
      <c r="B791" s="58"/>
      <c r="C791" s="58"/>
      <c r="D791" s="58"/>
      <c r="E791" s="58"/>
      <c r="F791" s="58"/>
      <c r="G791" s="58"/>
      <c r="H791" s="58"/>
      <c r="I791" s="58"/>
      <c r="J791" s="58"/>
      <c r="K791" s="58"/>
      <c r="L791" s="58"/>
      <c r="M791" s="58"/>
      <c r="N791" s="58"/>
      <c r="O791" s="58"/>
      <c r="P791" s="58"/>
      <c r="Q791" s="58"/>
      <c r="R791" s="58"/>
      <c r="S791" s="58"/>
    </row>
    <row r="792" spans="2:19" x14ac:dyDescent="0.15">
      <c r="B792" s="58"/>
      <c r="C792" s="58"/>
      <c r="D792" s="58"/>
      <c r="E792" s="58"/>
      <c r="F792" s="58"/>
      <c r="G792" s="58"/>
      <c r="H792" s="58"/>
      <c r="I792" s="58"/>
      <c r="J792" s="58"/>
      <c r="K792" s="58"/>
      <c r="L792" s="58"/>
      <c r="M792" s="58"/>
      <c r="N792" s="58"/>
      <c r="O792" s="58"/>
      <c r="P792" s="58"/>
      <c r="Q792" s="58"/>
      <c r="R792" s="58"/>
      <c r="S792" s="58"/>
    </row>
    <row r="793" spans="2:19" x14ac:dyDescent="0.15">
      <c r="B793" s="58"/>
      <c r="C793" s="58"/>
      <c r="D793" s="58"/>
      <c r="E793" s="58"/>
      <c r="F793" s="58"/>
      <c r="G793" s="58"/>
      <c r="H793" s="58"/>
      <c r="I793" s="58"/>
      <c r="J793" s="58"/>
      <c r="K793" s="58"/>
      <c r="L793" s="58"/>
      <c r="M793" s="58"/>
      <c r="N793" s="58"/>
      <c r="O793" s="58"/>
      <c r="P793" s="58"/>
      <c r="Q793" s="58"/>
      <c r="R793" s="58"/>
      <c r="S793" s="58"/>
    </row>
    <row r="794" spans="2:19" x14ac:dyDescent="0.15">
      <c r="B794" s="58"/>
      <c r="C794" s="58"/>
      <c r="D794" s="58"/>
      <c r="E794" s="58"/>
      <c r="F794" s="58"/>
      <c r="G794" s="58"/>
      <c r="H794" s="58"/>
      <c r="I794" s="58"/>
      <c r="J794" s="58"/>
      <c r="K794" s="58"/>
      <c r="L794" s="58"/>
      <c r="M794" s="58"/>
      <c r="N794" s="58"/>
      <c r="O794" s="58"/>
      <c r="P794" s="58"/>
      <c r="Q794" s="58"/>
      <c r="R794" s="58"/>
      <c r="S794" s="58"/>
    </row>
    <row r="795" spans="2:19" x14ac:dyDescent="0.15">
      <c r="B795" s="58"/>
      <c r="C795" s="58"/>
      <c r="D795" s="58"/>
      <c r="E795" s="58"/>
      <c r="F795" s="58"/>
      <c r="G795" s="58"/>
      <c r="H795" s="58"/>
      <c r="I795" s="58"/>
      <c r="J795" s="58"/>
      <c r="K795" s="58"/>
      <c r="L795" s="58"/>
      <c r="M795" s="58"/>
      <c r="N795" s="58"/>
      <c r="O795" s="58"/>
      <c r="P795" s="58"/>
      <c r="Q795" s="58"/>
      <c r="R795" s="58"/>
      <c r="S795" s="58"/>
    </row>
    <row r="796" spans="2:19" x14ac:dyDescent="0.15">
      <c r="B796" s="58"/>
      <c r="C796" s="58"/>
      <c r="D796" s="58"/>
      <c r="E796" s="58"/>
      <c r="F796" s="58"/>
      <c r="G796" s="58"/>
      <c r="H796" s="58"/>
      <c r="I796" s="58"/>
      <c r="J796" s="58"/>
      <c r="K796" s="58"/>
      <c r="L796" s="58"/>
      <c r="M796" s="58"/>
      <c r="N796" s="58"/>
      <c r="O796" s="58"/>
      <c r="P796" s="58"/>
      <c r="Q796" s="58"/>
      <c r="R796" s="58"/>
      <c r="S796" s="58"/>
    </row>
    <row r="797" spans="2:19" x14ac:dyDescent="0.15">
      <c r="B797" s="58"/>
      <c r="C797" s="58"/>
      <c r="D797" s="58"/>
      <c r="E797" s="58"/>
      <c r="F797" s="58"/>
      <c r="G797" s="58"/>
      <c r="H797" s="58"/>
      <c r="I797" s="58"/>
      <c r="J797" s="58"/>
      <c r="K797" s="58"/>
      <c r="L797" s="58"/>
      <c r="M797" s="58"/>
      <c r="N797" s="58"/>
      <c r="O797" s="58"/>
      <c r="P797" s="58"/>
      <c r="Q797" s="58"/>
      <c r="R797" s="58"/>
      <c r="S797" s="58"/>
    </row>
    <row r="798" spans="2:19" x14ac:dyDescent="0.15">
      <c r="B798" s="58"/>
      <c r="C798" s="58"/>
      <c r="D798" s="58"/>
      <c r="E798" s="58"/>
      <c r="F798" s="58"/>
      <c r="G798" s="58"/>
      <c r="H798" s="58"/>
      <c r="I798" s="58"/>
      <c r="J798" s="58"/>
      <c r="K798" s="58"/>
      <c r="L798" s="58"/>
      <c r="M798" s="58"/>
      <c r="N798" s="58"/>
      <c r="O798" s="58"/>
      <c r="P798" s="58"/>
      <c r="Q798" s="58"/>
      <c r="R798" s="58"/>
      <c r="S798" s="58"/>
    </row>
    <row r="799" spans="2:19" x14ac:dyDescent="0.15">
      <c r="B799" s="58"/>
      <c r="C799" s="58"/>
      <c r="D799" s="58"/>
      <c r="E799" s="58"/>
      <c r="F799" s="58"/>
      <c r="G799" s="58"/>
      <c r="H799" s="58"/>
      <c r="I799" s="58"/>
      <c r="J799" s="58"/>
      <c r="K799" s="58"/>
      <c r="L799" s="58"/>
      <c r="M799" s="58"/>
      <c r="N799" s="58"/>
      <c r="O799" s="58"/>
      <c r="P799" s="58"/>
      <c r="Q799" s="58"/>
      <c r="R799" s="58"/>
      <c r="S799" s="58"/>
    </row>
    <row r="800" spans="2:19" x14ac:dyDescent="0.15">
      <c r="B800" s="58"/>
      <c r="C800" s="58"/>
      <c r="D800" s="58"/>
      <c r="E800" s="58"/>
      <c r="F800" s="58"/>
      <c r="G800" s="58"/>
      <c r="H800" s="58"/>
      <c r="I800" s="58"/>
      <c r="J800" s="58"/>
      <c r="K800" s="58"/>
      <c r="L800" s="58"/>
      <c r="M800" s="58"/>
      <c r="N800" s="58"/>
      <c r="O800" s="58"/>
      <c r="P800" s="58"/>
      <c r="Q800" s="58"/>
      <c r="R800" s="58"/>
      <c r="S800" s="58"/>
    </row>
    <row r="801" spans="2:19" x14ac:dyDescent="0.15">
      <c r="B801" s="58"/>
      <c r="C801" s="58"/>
      <c r="D801" s="58"/>
      <c r="E801" s="58"/>
      <c r="F801" s="58"/>
      <c r="G801" s="58"/>
      <c r="H801" s="58"/>
      <c r="I801" s="58"/>
      <c r="J801" s="58"/>
      <c r="K801" s="58"/>
      <c r="L801" s="58"/>
      <c r="M801" s="58"/>
      <c r="N801" s="58"/>
      <c r="O801" s="58"/>
      <c r="P801" s="58"/>
      <c r="Q801" s="58"/>
      <c r="R801" s="58"/>
      <c r="S801" s="58"/>
    </row>
    <row r="802" spans="2:19" x14ac:dyDescent="0.15">
      <c r="B802" s="58"/>
      <c r="C802" s="58"/>
      <c r="D802" s="58"/>
      <c r="E802" s="58"/>
      <c r="F802" s="58"/>
      <c r="G802" s="58"/>
      <c r="H802" s="58"/>
      <c r="I802" s="58"/>
      <c r="J802" s="58"/>
      <c r="K802" s="58"/>
      <c r="L802" s="58"/>
      <c r="M802" s="58"/>
      <c r="N802" s="58"/>
      <c r="O802" s="58"/>
      <c r="P802" s="58"/>
      <c r="Q802" s="58"/>
      <c r="R802" s="58"/>
      <c r="S802" s="58"/>
    </row>
    <row r="803" spans="2:19" x14ac:dyDescent="0.15">
      <c r="B803" s="58"/>
      <c r="C803" s="58"/>
      <c r="D803" s="58"/>
      <c r="E803" s="58"/>
      <c r="F803" s="58"/>
      <c r="G803" s="58"/>
      <c r="H803" s="58"/>
      <c r="I803" s="58"/>
      <c r="J803" s="58"/>
      <c r="K803" s="58"/>
      <c r="L803" s="58"/>
      <c r="M803" s="58"/>
      <c r="N803" s="58"/>
      <c r="O803" s="58"/>
      <c r="P803" s="58"/>
      <c r="Q803" s="58"/>
      <c r="R803" s="58"/>
      <c r="S803" s="58"/>
    </row>
    <row r="804" spans="2:19" x14ac:dyDescent="0.15">
      <c r="B804" s="58"/>
      <c r="C804" s="58"/>
      <c r="D804" s="58"/>
      <c r="E804" s="58"/>
      <c r="F804" s="58"/>
      <c r="G804" s="58"/>
      <c r="H804" s="58"/>
      <c r="I804" s="58"/>
      <c r="J804" s="58"/>
      <c r="K804" s="58"/>
      <c r="L804" s="58"/>
      <c r="M804" s="58"/>
      <c r="N804" s="58"/>
      <c r="O804" s="58"/>
      <c r="P804" s="58"/>
      <c r="Q804" s="58"/>
      <c r="R804" s="58"/>
      <c r="S804" s="58"/>
    </row>
    <row r="805" spans="2:19" x14ac:dyDescent="0.15">
      <c r="B805" s="58"/>
      <c r="C805" s="58"/>
      <c r="D805" s="58"/>
      <c r="E805" s="58"/>
      <c r="F805" s="58"/>
      <c r="G805" s="58"/>
      <c r="H805" s="58"/>
      <c r="I805" s="58"/>
      <c r="J805" s="58"/>
      <c r="K805" s="58"/>
      <c r="L805" s="58"/>
      <c r="M805" s="58"/>
      <c r="N805" s="58"/>
      <c r="O805" s="58"/>
      <c r="P805" s="58"/>
      <c r="Q805" s="58"/>
      <c r="R805" s="58"/>
      <c r="S805" s="58"/>
    </row>
    <row r="806" spans="2:19" x14ac:dyDescent="0.15">
      <c r="B806" s="58"/>
      <c r="C806" s="58"/>
      <c r="D806" s="58"/>
      <c r="E806" s="58"/>
      <c r="F806" s="58"/>
      <c r="G806" s="58"/>
      <c r="H806" s="58"/>
      <c r="I806" s="58"/>
      <c r="J806" s="58"/>
      <c r="K806" s="58"/>
      <c r="L806" s="58"/>
      <c r="M806" s="58"/>
      <c r="N806" s="58"/>
      <c r="O806" s="58"/>
      <c r="P806" s="58"/>
      <c r="Q806" s="58"/>
      <c r="R806" s="58"/>
      <c r="S806" s="58"/>
    </row>
    <row r="807" spans="2:19" x14ac:dyDescent="0.15">
      <c r="B807" s="58"/>
      <c r="C807" s="58"/>
      <c r="D807" s="58"/>
      <c r="E807" s="58"/>
      <c r="F807" s="58"/>
      <c r="G807" s="58"/>
      <c r="H807" s="58"/>
      <c r="I807" s="58"/>
      <c r="J807" s="58"/>
      <c r="K807" s="58"/>
      <c r="L807" s="58"/>
      <c r="M807" s="58"/>
      <c r="N807" s="58"/>
      <c r="O807" s="58"/>
      <c r="P807" s="58"/>
      <c r="Q807" s="58"/>
      <c r="R807" s="58"/>
      <c r="S807" s="58"/>
    </row>
    <row r="808" spans="2:19" x14ac:dyDescent="0.15">
      <c r="B808" s="58"/>
      <c r="C808" s="58"/>
      <c r="D808" s="58"/>
      <c r="E808" s="58"/>
      <c r="F808" s="58"/>
      <c r="G808" s="58"/>
      <c r="H808" s="58"/>
      <c r="I808" s="58"/>
      <c r="J808" s="58"/>
      <c r="K808" s="58"/>
      <c r="L808" s="58"/>
      <c r="M808" s="58"/>
      <c r="N808" s="58"/>
      <c r="O808" s="58"/>
      <c r="P808" s="58"/>
      <c r="Q808" s="58"/>
      <c r="R808" s="58"/>
      <c r="S808" s="58"/>
    </row>
    <row r="809" spans="2:19" x14ac:dyDescent="0.15">
      <c r="B809" s="58"/>
      <c r="C809" s="58"/>
      <c r="D809" s="58"/>
      <c r="E809" s="58"/>
      <c r="F809" s="58"/>
      <c r="G809" s="58"/>
      <c r="H809" s="58"/>
      <c r="I809" s="58"/>
      <c r="J809" s="58"/>
      <c r="K809" s="58"/>
      <c r="L809" s="58"/>
      <c r="M809" s="58"/>
      <c r="N809" s="58"/>
      <c r="O809" s="58"/>
      <c r="P809" s="58"/>
      <c r="Q809" s="58"/>
      <c r="R809" s="58"/>
      <c r="S809" s="58"/>
    </row>
    <row r="810" spans="2:19" x14ac:dyDescent="0.15">
      <c r="B810" s="58"/>
      <c r="C810" s="58"/>
      <c r="D810" s="58"/>
      <c r="E810" s="58"/>
      <c r="F810" s="58"/>
      <c r="G810" s="58"/>
      <c r="H810" s="58"/>
      <c r="I810" s="58"/>
      <c r="J810" s="58"/>
      <c r="K810" s="58"/>
      <c r="L810" s="58"/>
      <c r="M810" s="58"/>
      <c r="N810" s="58"/>
      <c r="O810" s="58"/>
      <c r="P810" s="58"/>
      <c r="Q810" s="58"/>
      <c r="R810" s="58"/>
      <c r="S810" s="58"/>
    </row>
    <row r="811" spans="2:19" x14ac:dyDescent="0.15">
      <c r="B811" s="58"/>
      <c r="C811" s="58"/>
      <c r="D811" s="58"/>
      <c r="E811" s="58"/>
      <c r="F811" s="58"/>
      <c r="G811" s="58"/>
      <c r="H811" s="58"/>
      <c r="I811" s="58"/>
      <c r="J811" s="58"/>
      <c r="K811" s="58"/>
      <c r="L811" s="58"/>
      <c r="M811" s="58"/>
      <c r="N811" s="58"/>
      <c r="O811" s="58"/>
      <c r="P811" s="58"/>
      <c r="Q811" s="58"/>
      <c r="R811" s="58"/>
      <c r="S811" s="58"/>
    </row>
    <row r="812" spans="2:19" x14ac:dyDescent="0.15">
      <c r="B812" s="58"/>
      <c r="C812" s="58"/>
      <c r="D812" s="58"/>
      <c r="E812" s="58"/>
      <c r="F812" s="58"/>
      <c r="G812" s="58"/>
      <c r="H812" s="58"/>
      <c r="I812" s="58"/>
      <c r="J812" s="58"/>
      <c r="K812" s="58"/>
      <c r="L812" s="58"/>
      <c r="M812" s="58"/>
      <c r="N812" s="58"/>
      <c r="O812" s="58"/>
      <c r="P812" s="58"/>
      <c r="Q812" s="58"/>
      <c r="R812" s="58"/>
      <c r="S812" s="58"/>
    </row>
    <row r="813" spans="2:19" x14ac:dyDescent="0.15">
      <c r="B813" s="58"/>
      <c r="C813" s="58"/>
      <c r="D813" s="58"/>
      <c r="E813" s="58"/>
      <c r="F813" s="58"/>
      <c r="G813" s="58"/>
      <c r="H813" s="58"/>
      <c r="I813" s="58"/>
      <c r="J813" s="58"/>
      <c r="K813" s="58"/>
      <c r="L813" s="58"/>
      <c r="M813" s="58"/>
      <c r="N813" s="58"/>
      <c r="O813" s="58"/>
      <c r="P813" s="58"/>
      <c r="Q813" s="58"/>
      <c r="R813" s="58"/>
      <c r="S813" s="58"/>
    </row>
    <row r="814" spans="2:19" x14ac:dyDescent="0.15">
      <c r="B814" s="58"/>
      <c r="C814" s="58"/>
      <c r="D814" s="58"/>
      <c r="E814" s="58"/>
      <c r="F814" s="58"/>
      <c r="G814" s="58"/>
      <c r="H814" s="58"/>
      <c r="I814" s="58"/>
      <c r="J814" s="58"/>
      <c r="K814" s="58"/>
      <c r="L814" s="58"/>
      <c r="M814" s="58"/>
      <c r="N814" s="58"/>
      <c r="O814" s="58"/>
      <c r="P814" s="58"/>
      <c r="Q814" s="58"/>
      <c r="R814" s="58"/>
      <c r="S814" s="58"/>
    </row>
    <row r="815" spans="2:19" x14ac:dyDescent="0.15">
      <c r="B815" s="58"/>
      <c r="C815" s="58"/>
      <c r="D815" s="58"/>
      <c r="E815" s="58"/>
      <c r="F815" s="58"/>
      <c r="G815" s="58"/>
      <c r="H815" s="58"/>
      <c r="I815" s="58"/>
      <c r="J815" s="58"/>
      <c r="K815" s="58"/>
      <c r="L815" s="58"/>
      <c r="M815" s="58"/>
      <c r="N815" s="58"/>
      <c r="O815" s="58"/>
      <c r="P815" s="58"/>
      <c r="Q815" s="58"/>
      <c r="R815" s="58"/>
      <c r="S815" s="58"/>
    </row>
    <row r="816" spans="2:19" x14ac:dyDescent="0.15">
      <c r="B816" s="58"/>
      <c r="C816" s="58"/>
      <c r="D816" s="58"/>
      <c r="E816" s="58"/>
      <c r="F816" s="58"/>
      <c r="G816" s="58"/>
      <c r="H816" s="58"/>
      <c r="I816" s="58"/>
      <c r="J816" s="58"/>
      <c r="K816" s="58"/>
      <c r="L816" s="58"/>
      <c r="M816" s="58"/>
      <c r="N816" s="58"/>
      <c r="O816" s="58"/>
      <c r="P816" s="58"/>
      <c r="Q816" s="58"/>
      <c r="R816" s="58"/>
      <c r="S816" s="58"/>
    </row>
    <row r="817" spans="2:19" x14ac:dyDescent="0.15">
      <c r="B817" s="58"/>
      <c r="C817" s="58"/>
      <c r="D817" s="58"/>
      <c r="E817" s="58"/>
      <c r="F817" s="58"/>
      <c r="G817" s="58"/>
      <c r="H817" s="58"/>
      <c r="I817" s="58"/>
      <c r="J817" s="58"/>
      <c r="K817" s="58"/>
      <c r="L817" s="58"/>
      <c r="M817" s="58"/>
      <c r="N817" s="58"/>
      <c r="O817" s="58"/>
      <c r="P817" s="58"/>
      <c r="Q817" s="58"/>
      <c r="R817" s="58"/>
      <c r="S817" s="58"/>
    </row>
    <row r="818" spans="2:19" x14ac:dyDescent="0.15">
      <c r="B818" s="58"/>
      <c r="C818" s="58"/>
      <c r="D818" s="58"/>
      <c r="E818" s="58"/>
      <c r="F818" s="58"/>
      <c r="G818" s="58"/>
      <c r="H818" s="58"/>
      <c r="I818" s="58"/>
      <c r="J818" s="58"/>
      <c r="K818" s="58"/>
      <c r="L818" s="58"/>
      <c r="M818" s="58"/>
      <c r="N818" s="58"/>
      <c r="O818" s="58"/>
      <c r="P818" s="58"/>
      <c r="Q818" s="58"/>
      <c r="R818" s="58"/>
      <c r="S818" s="58"/>
    </row>
    <row r="819" spans="2:19" x14ac:dyDescent="0.15">
      <c r="B819" s="58"/>
      <c r="C819" s="58"/>
      <c r="D819" s="58"/>
      <c r="E819" s="58"/>
      <c r="F819" s="58"/>
      <c r="G819" s="58"/>
      <c r="H819" s="58"/>
      <c r="I819" s="58"/>
      <c r="J819" s="58"/>
      <c r="K819" s="58"/>
      <c r="L819" s="58"/>
      <c r="M819" s="58"/>
      <c r="N819" s="58"/>
      <c r="O819" s="58"/>
      <c r="P819" s="58"/>
      <c r="Q819" s="58"/>
      <c r="R819" s="58"/>
      <c r="S819" s="58"/>
    </row>
    <row r="820" spans="2:19" x14ac:dyDescent="0.15">
      <c r="B820" s="58"/>
      <c r="C820" s="58"/>
      <c r="D820" s="58"/>
      <c r="E820" s="58"/>
      <c r="F820" s="58"/>
      <c r="G820" s="58"/>
      <c r="H820" s="58"/>
      <c r="I820" s="58"/>
      <c r="J820" s="58"/>
      <c r="K820" s="58"/>
      <c r="L820" s="58"/>
      <c r="M820" s="58"/>
      <c r="N820" s="58"/>
      <c r="O820" s="58"/>
      <c r="P820" s="58"/>
      <c r="Q820" s="58"/>
      <c r="R820" s="58"/>
      <c r="S820" s="58"/>
    </row>
    <row r="821" spans="2:19" x14ac:dyDescent="0.15">
      <c r="B821" s="58"/>
      <c r="C821" s="58"/>
      <c r="D821" s="58"/>
      <c r="E821" s="58"/>
      <c r="F821" s="58"/>
      <c r="G821" s="58"/>
      <c r="H821" s="58"/>
      <c r="I821" s="58"/>
      <c r="J821" s="58"/>
      <c r="K821" s="58"/>
      <c r="L821" s="58"/>
      <c r="M821" s="58"/>
      <c r="N821" s="58"/>
      <c r="O821" s="58"/>
      <c r="P821" s="58"/>
      <c r="Q821" s="58"/>
      <c r="R821" s="58"/>
      <c r="S821" s="58"/>
    </row>
    <row r="822" spans="2:19" x14ac:dyDescent="0.15">
      <c r="B822" s="58"/>
      <c r="C822" s="58"/>
      <c r="D822" s="58"/>
      <c r="E822" s="58"/>
      <c r="F822" s="58"/>
      <c r="G822" s="58"/>
      <c r="H822" s="58"/>
      <c r="I822" s="58"/>
      <c r="J822" s="58"/>
      <c r="K822" s="58"/>
      <c r="L822" s="58"/>
      <c r="M822" s="58"/>
      <c r="N822" s="58"/>
      <c r="O822" s="58"/>
      <c r="P822" s="58"/>
      <c r="Q822" s="58"/>
      <c r="R822" s="58"/>
      <c r="S822" s="58"/>
    </row>
    <row r="823" spans="2:19" x14ac:dyDescent="0.15">
      <c r="B823" s="58"/>
      <c r="C823" s="58"/>
      <c r="D823" s="58"/>
      <c r="E823" s="58"/>
      <c r="F823" s="58"/>
      <c r="G823" s="58"/>
      <c r="H823" s="58"/>
      <c r="I823" s="58"/>
      <c r="J823" s="58"/>
      <c r="K823" s="58"/>
      <c r="L823" s="58"/>
      <c r="M823" s="58"/>
      <c r="N823" s="58"/>
      <c r="O823" s="58"/>
      <c r="P823" s="58"/>
      <c r="Q823" s="58"/>
      <c r="R823" s="58"/>
      <c r="S823" s="58"/>
    </row>
    <row r="824" spans="2:19" x14ac:dyDescent="0.15">
      <c r="B824" s="58"/>
      <c r="C824" s="58"/>
      <c r="D824" s="58"/>
      <c r="E824" s="58"/>
      <c r="F824" s="58"/>
      <c r="G824" s="58"/>
      <c r="H824" s="58"/>
      <c r="I824" s="58"/>
      <c r="J824" s="58"/>
      <c r="K824" s="58"/>
      <c r="L824" s="58"/>
      <c r="M824" s="58"/>
      <c r="N824" s="58"/>
      <c r="O824" s="58"/>
      <c r="P824" s="58"/>
      <c r="Q824" s="58"/>
      <c r="R824" s="58"/>
      <c r="S824" s="58"/>
    </row>
    <row r="825" spans="2:19" x14ac:dyDescent="0.15">
      <c r="B825" s="58"/>
      <c r="C825" s="58"/>
      <c r="D825" s="58"/>
      <c r="E825" s="58"/>
      <c r="F825" s="58"/>
      <c r="G825" s="58"/>
      <c r="H825" s="58"/>
      <c r="I825" s="58"/>
      <c r="J825" s="58"/>
      <c r="K825" s="58"/>
      <c r="L825" s="58"/>
      <c r="M825" s="58"/>
      <c r="N825" s="58"/>
      <c r="O825" s="58"/>
      <c r="P825" s="58"/>
      <c r="Q825" s="58"/>
      <c r="R825" s="58"/>
      <c r="S825" s="58"/>
    </row>
    <row r="826" spans="2:19" x14ac:dyDescent="0.15">
      <c r="B826" s="58"/>
      <c r="C826" s="58"/>
      <c r="D826" s="58"/>
      <c r="E826" s="58"/>
      <c r="F826" s="58"/>
      <c r="G826" s="58"/>
      <c r="H826" s="58"/>
      <c r="I826" s="58"/>
      <c r="J826" s="58"/>
      <c r="K826" s="58"/>
      <c r="L826" s="58"/>
      <c r="M826" s="58"/>
      <c r="N826" s="58"/>
      <c r="O826" s="58"/>
      <c r="P826" s="58"/>
      <c r="Q826" s="58"/>
      <c r="R826" s="58"/>
      <c r="S826" s="58"/>
    </row>
    <row r="827" spans="2:19" x14ac:dyDescent="0.15">
      <c r="B827" s="58"/>
      <c r="C827" s="58"/>
      <c r="D827" s="58"/>
      <c r="E827" s="58"/>
      <c r="F827" s="58"/>
      <c r="G827" s="58"/>
      <c r="H827" s="58"/>
      <c r="I827" s="58"/>
      <c r="J827" s="58"/>
      <c r="K827" s="58"/>
      <c r="L827" s="58"/>
      <c r="M827" s="58"/>
      <c r="N827" s="58"/>
      <c r="O827" s="58"/>
      <c r="P827" s="58"/>
      <c r="Q827" s="58"/>
      <c r="R827" s="58"/>
      <c r="S827" s="58"/>
    </row>
    <row r="828" spans="2:19" x14ac:dyDescent="0.15">
      <c r="B828" s="58"/>
      <c r="C828" s="58"/>
      <c r="D828" s="58"/>
      <c r="E828" s="58"/>
      <c r="F828" s="58"/>
      <c r="G828" s="58"/>
      <c r="H828" s="58"/>
      <c r="I828" s="58"/>
      <c r="J828" s="58"/>
      <c r="K828" s="58"/>
      <c r="L828" s="58"/>
      <c r="M828" s="58"/>
      <c r="N828" s="58"/>
      <c r="O828" s="58"/>
      <c r="P828" s="58"/>
      <c r="Q828" s="58"/>
      <c r="R828" s="58"/>
      <c r="S828" s="58"/>
    </row>
    <row r="829" spans="2:19" x14ac:dyDescent="0.15">
      <c r="B829" s="58"/>
      <c r="C829" s="58"/>
      <c r="D829" s="58"/>
      <c r="E829" s="58"/>
      <c r="F829" s="58"/>
      <c r="G829" s="58"/>
      <c r="H829" s="58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</row>
    <row r="830" spans="2:19" x14ac:dyDescent="0.15">
      <c r="B830" s="58"/>
      <c r="C830" s="58"/>
      <c r="D830" s="58"/>
      <c r="E830" s="58"/>
      <c r="F830" s="58"/>
      <c r="G830" s="58"/>
      <c r="H830" s="58"/>
      <c r="I830" s="58"/>
      <c r="J830" s="58"/>
      <c r="K830" s="58"/>
      <c r="L830" s="58"/>
      <c r="M830" s="58"/>
      <c r="N830" s="58"/>
      <c r="O830" s="58"/>
      <c r="P830" s="58"/>
      <c r="Q830" s="58"/>
      <c r="R830" s="58"/>
      <c r="S830" s="58"/>
    </row>
    <row r="831" spans="2:19" x14ac:dyDescent="0.15">
      <c r="B831" s="58"/>
      <c r="C831" s="58"/>
      <c r="D831" s="58"/>
      <c r="E831" s="58"/>
      <c r="F831" s="58"/>
      <c r="G831" s="58"/>
      <c r="H831" s="58"/>
      <c r="I831" s="58"/>
      <c r="J831" s="58"/>
      <c r="K831" s="58"/>
      <c r="L831" s="58"/>
      <c r="M831" s="58"/>
      <c r="N831" s="58"/>
      <c r="O831" s="58"/>
      <c r="P831" s="58"/>
      <c r="Q831" s="58"/>
      <c r="R831" s="58"/>
      <c r="S831" s="58"/>
    </row>
    <row r="832" spans="2:19" x14ac:dyDescent="0.15">
      <c r="B832" s="58"/>
      <c r="C832" s="58"/>
      <c r="D832" s="58"/>
      <c r="E832" s="58"/>
      <c r="F832" s="58"/>
      <c r="G832" s="58"/>
      <c r="H832" s="58"/>
      <c r="I832" s="58"/>
      <c r="J832" s="58"/>
      <c r="K832" s="58"/>
      <c r="L832" s="58"/>
      <c r="M832" s="58"/>
      <c r="N832" s="58"/>
      <c r="O832" s="58"/>
      <c r="P832" s="58"/>
      <c r="Q832" s="58"/>
      <c r="R832" s="58"/>
      <c r="S832" s="58"/>
    </row>
    <row r="833" spans="2:19" x14ac:dyDescent="0.15">
      <c r="B833" s="58"/>
      <c r="C833" s="58"/>
      <c r="D833" s="58"/>
      <c r="E833" s="58"/>
      <c r="F833" s="58"/>
      <c r="G833" s="58"/>
      <c r="H833" s="58"/>
      <c r="I833" s="58"/>
      <c r="J833" s="58"/>
      <c r="K833" s="58"/>
      <c r="L833" s="58"/>
      <c r="M833" s="58"/>
      <c r="N833" s="58"/>
      <c r="O833" s="58"/>
      <c r="P833" s="58"/>
      <c r="Q833" s="58"/>
      <c r="R833" s="58"/>
      <c r="S833" s="58"/>
    </row>
    <row r="834" spans="2:19" x14ac:dyDescent="0.15">
      <c r="B834" s="58"/>
      <c r="C834" s="58"/>
      <c r="D834" s="58"/>
      <c r="E834" s="58"/>
      <c r="F834" s="58"/>
      <c r="G834" s="58"/>
      <c r="H834" s="58"/>
      <c r="I834" s="58"/>
      <c r="J834" s="58"/>
      <c r="K834" s="58"/>
      <c r="L834" s="58"/>
      <c r="M834" s="58"/>
      <c r="N834" s="58"/>
      <c r="O834" s="58"/>
      <c r="P834" s="58"/>
      <c r="Q834" s="58"/>
      <c r="R834" s="58"/>
      <c r="S834" s="58"/>
    </row>
    <row r="835" spans="2:19" x14ac:dyDescent="0.15">
      <c r="B835" s="58"/>
      <c r="C835" s="58"/>
      <c r="D835" s="58"/>
      <c r="E835" s="58"/>
      <c r="F835" s="58"/>
      <c r="G835" s="58"/>
      <c r="H835" s="58"/>
      <c r="I835" s="58"/>
      <c r="J835" s="58"/>
      <c r="K835" s="58"/>
      <c r="L835" s="58"/>
      <c r="M835" s="58"/>
      <c r="N835" s="58"/>
      <c r="O835" s="58"/>
      <c r="P835" s="58"/>
      <c r="Q835" s="58"/>
      <c r="R835" s="58"/>
      <c r="S835" s="58"/>
    </row>
    <row r="836" spans="2:19" x14ac:dyDescent="0.15">
      <c r="B836" s="58"/>
      <c r="C836" s="58"/>
      <c r="D836" s="58"/>
      <c r="E836" s="58"/>
      <c r="F836" s="58"/>
      <c r="G836" s="58"/>
      <c r="H836" s="58"/>
      <c r="I836" s="58"/>
      <c r="J836" s="58"/>
      <c r="K836" s="58"/>
      <c r="L836" s="58"/>
      <c r="M836" s="58"/>
      <c r="N836" s="58"/>
      <c r="O836" s="58"/>
      <c r="P836" s="58"/>
      <c r="Q836" s="58"/>
      <c r="R836" s="58"/>
      <c r="S836" s="58"/>
    </row>
    <row r="837" spans="2:19" x14ac:dyDescent="0.15">
      <c r="B837" s="58"/>
      <c r="C837" s="58"/>
      <c r="D837" s="58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</row>
    <row r="838" spans="2:19" x14ac:dyDescent="0.15">
      <c r="B838" s="58"/>
      <c r="C838" s="58"/>
      <c r="D838" s="58"/>
      <c r="E838" s="58"/>
      <c r="F838" s="58"/>
      <c r="G838" s="58"/>
      <c r="H838" s="58"/>
      <c r="I838" s="58"/>
      <c r="J838" s="58"/>
      <c r="K838" s="58"/>
      <c r="L838" s="58"/>
      <c r="M838" s="58"/>
      <c r="N838" s="58"/>
      <c r="O838" s="58"/>
      <c r="P838" s="58"/>
      <c r="Q838" s="58"/>
      <c r="R838" s="58"/>
      <c r="S838" s="58"/>
    </row>
    <row r="839" spans="2:19" x14ac:dyDescent="0.15">
      <c r="B839" s="58"/>
      <c r="C839" s="58"/>
      <c r="D839" s="58"/>
      <c r="E839" s="58"/>
      <c r="F839" s="58"/>
      <c r="G839" s="58"/>
      <c r="H839" s="58"/>
      <c r="I839" s="58"/>
      <c r="J839" s="58"/>
      <c r="K839" s="58"/>
      <c r="L839" s="58"/>
      <c r="M839" s="58"/>
      <c r="N839" s="58"/>
      <c r="O839" s="58"/>
      <c r="P839" s="58"/>
      <c r="Q839" s="58"/>
      <c r="R839" s="58"/>
      <c r="S839" s="58"/>
    </row>
    <row r="840" spans="2:19" x14ac:dyDescent="0.15">
      <c r="B840" s="58"/>
      <c r="C840" s="58"/>
      <c r="D840" s="58"/>
      <c r="E840" s="58"/>
      <c r="F840" s="58"/>
      <c r="G840" s="58"/>
      <c r="H840" s="58"/>
      <c r="I840" s="58"/>
      <c r="J840" s="58"/>
      <c r="K840" s="58"/>
      <c r="L840" s="58"/>
      <c r="M840" s="58"/>
      <c r="N840" s="58"/>
      <c r="O840" s="58"/>
      <c r="P840" s="58"/>
      <c r="Q840" s="58"/>
      <c r="R840" s="58"/>
      <c r="S840" s="58"/>
    </row>
    <row r="841" spans="2:19" x14ac:dyDescent="0.15">
      <c r="B841" s="58"/>
      <c r="C841" s="58"/>
      <c r="D841" s="58"/>
      <c r="E841" s="58"/>
      <c r="F841" s="58"/>
      <c r="G841" s="58"/>
      <c r="H841" s="58"/>
      <c r="I841" s="58"/>
      <c r="J841" s="58"/>
      <c r="K841" s="58"/>
      <c r="L841" s="58"/>
      <c r="M841" s="58"/>
      <c r="N841" s="58"/>
      <c r="O841" s="58"/>
      <c r="P841" s="58"/>
      <c r="Q841" s="58"/>
      <c r="R841" s="58"/>
      <c r="S841" s="58"/>
    </row>
    <row r="842" spans="2:19" x14ac:dyDescent="0.15">
      <c r="B842" s="58"/>
      <c r="C842" s="58"/>
      <c r="D842" s="58"/>
      <c r="E842" s="58"/>
      <c r="F842" s="58"/>
      <c r="G842" s="58"/>
      <c r="H842" s="58"/>
      <c r="I842" s="58"/>
      <c r="J842" s="58"/>
      <c r="K842" s="58"/>
      <c r="L842" s="58"/>
      <c r="M842" s="58"/>
      <c r="N842" s="58"/>
      <c r="O842" s="58"/>
      <c r="P842" s="58"/>
      <c r="Q842" s="58"/>
      <c r="R842" s="58"/>
      <c r="S842" s="58"/>
    </row>
    <row r="843" spans="2:19" x14ac:dyDescent="0.15">
      <c r="B843" s="58"/>
      <c r="C843" s="58"/>
      <c r="D843" s="58"/>
      <c r="E843" s="58"/>
      <c r="F843" s="58"/>
      <c r="G843" s="58"/>
      <c r="H843" s="58"/>
      <c r="I843" s="58"/>
      <c r="J843" s="58"/>
      <c r="K843" s="58"/>
      <c r="L843" s="58"/>
      <c r="M843" s="58"/>
      <c r="N843" s="58"/>
      <c r="O843" s="58"/>
      <c r="P843" s="58"/>
      <c r="Q843" s="58"/>
      <c r="R843" s="58"/>
      <c r="S843" s="58"/>
    </row>
    <row r="844" spans="2:19" x14ac:dyDescent="0.15">
      <c r="B844" s="58"/>
      <c r="C844" s="58"/>
      <c r="D844" s="58"/>
      <c r="E844" s="58"/>
      <c r="F844" s="58"/>
      <c r="G844" s="58"/>
      <c r="H844" s="58"/>
      <c r="I844" s="58"/>
      <c r="J844" s="58"/>
      <c r="K844" s="58"/>
      <c r="L844" s="58"/>
      <c r="M844" s="58"/>
      <c r="N844" s="58"/>
      <c r="O844" s="58"/>
      <c r="P844" s="58"/>
      <c r="Q844" s="58"/>
      <c r="R844" s="58"/>
      <c r="S844" s="58"/>
    </row>
    <row r="845" spans="2:19" x14ac:dyDescent="0.15">
      <c r="B845" s="58"/>
      <c r="C845" s="58"/>
      <c r="D845" s="58"/>
      <c r="E845" s="58"/>
      <c r="F845" s="58"/>
      <c r="G845" s="58"/>
      <c r="H845" s="58"/>
      <c r="I845" s="58"/>
      <c r="J845" s="58"/>
      <c r="K845" s="58"/>
      <c r="L845" s="58"/>
      <c r="M845" s="58"/>
      <c r="N845" s="58"/>
      <c r="O845" s="58"/>
      <c r="P845" s="58"/>
      <c r="Q845" s="58"/>
      <c r="R845" s="58"/>
      <c r="S845" s="58"/>
    </row>
    <row r="846" spans="2:19" x14ac:dyDescent="0.15">
      <c r="B846" s="58"/>
      <c r="C846" s="58"/>
      <c r="D846" s="58"/>
      <c r="E846" s="58"/>
      <c r="F846" s="58"/>
      <c r="G846" s="58"/>
      <c r="H846" s="58"/>
      <c r="I846" s="58"/>
      <c r="J846" s="58"/>
      <c r="K846" s="58"/>
      <c r="L846" s="58"/>
      <c r="M846" s="58"/>
      <c r="N846" s="58"/>
      <c r="O846" s="58"/>
      <c r="P846" s="58"/>
      <c r="Q846" s="58"/>
      <c r="R846" s="58"/>
      <c r="S846" s="58"/>
    </row>
    <row r="847" spans="2:19" x14ac:dyDescent="0.15">
      <c r="B847" s="58"/>
      <c r="C847" s="58"/>
      <c r="D847" s="58"/>
      <c r="E847" s="58"/>
      <c r="F847" s="58"/>
      <c r="G847" s="58"/>
      <c r="H847" s="58"/>
      <c r="I847" s="58"/>
      <c r="J847" s="58"/>
      <c r="K847" s="58"/>
      <c r="L847" s="58"/>
      <c r="M847" s="58"/>
      <c r="N847" s="58"/>
      <c r="O847" s="58"/>
      <c r="P847" s="58"/>
      <c r="Q847" s="58"/>
      <c r="R847" s="58"/>
      <c r="S847" s="58"/>
    </row>
    <row r="848" spans="2:19" x14ac:dyDescent="0.15">
      <c r="B848" s="58"/>
      <c r="C848" s="58"/>
      <c r="D848" s="58"/>
      <c r="E848" s="58"/>
      <c r="F848" s="58"/>
      <c r="G848" s="58"/>
      <c r="H848" s="58"/>
      <c r="I848" s="58"/>
      <c r="J848" s="58"/>
      <c r="K848" s="58"/>
      <c r="L848" s="58"/>
      <c r="M848" s="58"/>
      <c r="N848" s="58"/>
      <c r="O848" s="58"/>
      <c r="P848" s="58"/>
      <c r="Q848" s="58"/>
      <c r="R848" s="58"/>
      <c r="S848" s="58"/>
    </row>
    <row r="849" spans="2:19" x14ac:dyDescent="0.15">
      <c r="B849" s="58"/>
      <c r="C849" s="58"/>
      <c r="D849" s="58"/>
      <c r="E849" s="58"/>
      <c r="F849" s="58"/>
      <c r="G849" s="58"/>
      <c r="H849" s="58"/>
      <c r="I849" s="58"/>
      <c r="J849" s="58"/>
      <c r="K849" s="58"/>
      <c r="L849" s="58"/>
      <c r="M849" s="58"/>
      <c r="N849" s="58"/>
      <c r="O849" s="58"/>
      <c r="P849" s="58"/>
      <c r="Q849" s="58"/>
      <c r="R849" s="58"/>
      <c r="S849" s="58"/>
    </row>
    <row r="850" spans="2:19" x14ac:dyDescent="0.15">
      <c r="B850" s="58"/>
      <c r="C850" s="58"/>
      <c r="D850" s="58"/>
      <c r="E850" s="58"/>
      <c r="F850" s="58"/>
      <c r="G850" s="58"/>
      <c r="H850" s="58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</row>
    <row r="851" spans="2:19" x14ac:dyDescent="0.15">
      <c r="B851" s="58"/>
      <c r="C851" s="58"/>
      <c r="D851" s="58"/>
      <c r="E851" s="58"/>
      <c r="F851" s="58"/>
      <c r="G851" s="58"/>
      <c r="H851" s="58"/>
      <c r="I851" s="58"/>
      <c r="J851" s="58"/>
      <c r="K851" s="58"/>
      <c r="L851" s="58"/>
      <c r="M851" s="58"/>
      <c r="N851" s="58"/>
      <c r="O851" s="58"/>
      <c r="P851" s="58"/>
      <c r="Q851" s="58"/>
      <c r="R851" s="58"/>
      <c r="S851" s="58"/>
    </row>
    <row r="852" spans="2:19" x14ac:dyDescent="0.15">
      <c r="B852" s="58"/>
      <c r="C852" s="58"/>
      <c r="D852" s="58"/>
      <c r="E852" s="58"/>
      <c r="F852" s="58"/>
      <c r="G852" s="58"/>
      <c r="H852" s="58"/>
      <c r="I852" s="58"/>
      <c r="J852" s="58"/>
      <c r="K852" s="58"/>
      <c r="L852" s="58"/>
      <c r="M852" s="58"/>
      <c r="N852" s="58"/>
      <c r="O852" s="58"/>
      <c r="P852" s="58"/>
      <c r="Q852" s="58"/>
      <c r="R852" s="58"/>
      <c r="S852" s="58"/>
    </row>
    <row r="853" spans="2:19" x14ac:dyDescent="0.15">
      <c r="B853" s="58"/>
      <c r="C853" s="58"/>
      <c r="D853" s="58"/>
      <c r="E853" s="58"/>
      <c r="F853" s="58"/>
      <c r="G853" s="58"/>
      <c r="H853" s="58"/>
      <c r="I853" s="58"/>
      <c r="J853" s="58"/>
      <c r="K853" s="58"/>
      <c r="L853" s="58"/>
      <c r="M853" s="58"/>
      <c r="N853" s="58"/>
      <c r="O853" s="58"/>
      <c r="P853" s="58"/>
      <c r="Q853" s="58"/>
      <c r="R853" s="58"/>
      <c r="S853" s="58"/>
    </row>
    <row r="854" spans="2:19" x14ac:dyDescent="0.15">
      <c r="B854" s="58"/>
      <c r="C854" s="58"/>
      <c r="D854" s="58"/>
      <c r="E854" s="58"/>
      <c r="F854" s="58"/>
      <c r="G854" s="58"/>
      <c r="H854" s="58"/>
      <c r="I854" s="58"/>
      <c r="J854" s="58"/>
      <c r="K854" s="58"/>
      <c r="L854" s="58"/>
      <c r="M854" s="58"/>
      <c r="N854" s="58"/>
      <c r="O854" s="58"/>
      <c r="P854" s="58"/>
      <c r="Q854" s="58"/>
      <c r="R854" s="58"/>
      <c r="S854" s="58"/>
    </row>
    <row r="855" spans="2:19" x14ac:dyDescent="0.15">
      <c r="B855" s="58"/>
      <c r="C855" s="58"/>
      <c r="D855" s="58"/>
      <c r="E855" s="58"/>
      <c r="F855" s="58"/>
      <c r="G855" s="58"/>
      <c r="H855" s="58"/>
      <c r="I855" s="58"/>
      <c r="J855" s="58"/>
      <c r="K855" s="58"/>
      <c r="L855" s="58"/>
      <c r="M855" s="58"/>
      <c r="N855" s="58"/>
      <c r="O855" s="58"/>
      <c r="P855" s="58"/>
      <c r="Q855" s="58"/>
      <c r="R855" s="58"/>
      <c r="S855" s="58"/>
    </row>
    <row r="856" spans="2:19" x14ac:dyDescent="0.15">
      <c r="B856" s="58"/>
      <c r="C856" s="58"/>
      <c r="D856" s="58"/>
      <c r="E856" s="58"/>
      <c r="F856" s="58"/>
      <c r="G856" s="58"/>
      <c r="H856" s="58"/>
      <c r="I856" s="58"/>
      <c r="J856" s="58"/>
      <c r="K856" s="58"/>
      <c r="L856" s="58"/>
      <c r="M856" s="58"/>
      <c r="N856" s="58"/>
      <c r="O856" s="58"/>
      <c r="P856" s="58"/>
      <c r="Q856" s="58"/>
      <c r="R856" s="58"/>
      <c r="S856" s="58"/>
    </row>
    <row r="857" spans="2:19" x14ac:dyDescent="0.15">
      <c r="B857" s="58"/>
      <c r="C857" s="58"/>
      <c r="D857" s="58"/>
      <c r="E857" s="58"/>
      <c r="F857" s="58"/>
      <c r="G857" s="58"/>
      <c r="H857" s="58"/>
      <c r="I857" s="58"/>
      <c r="J857" s="58"/>
      <c r="K857" s="58"/>
      <c r="L857" s="58"/>
      <c r="M857" s="58"/>
      <c r="N857" s="58"/>
      <c r="O857" s="58"/>
      <c r="P857" s="58"/>
      <c r="Q857" s="58"/>
      <c r="R857" s="58"/>
      <c r="S857" s="58"/>
    </row>
    <row r="858" spans="2:19" x14ac:dyDescent="0.15">
      <c r="B858" s="58"/>
      <c r="C858" s="58"/>
      <c r="D858" s="58"/>
      <c r="E858" s="58"/>
      <c r="F858" s="58"/>
      <c r="G858" s="58"/>
      <c r="H858" s="58"/>
      <c r="I858" s="58"/>
      <c r="J858" s="58"/>
      <c r="K858" s="58"/>
      <c r="L858" s="58"/>
      <c r="M858" s="58"/>
      <c r="N858" s="58"/>
      <c r="O858" s="58"/>
      <c r="P858" s="58"/>
      <c r="Q858" s="58"/>
      <c r="R858" s="58"/>
      <c r="S858" s="58"/>
    </row>
    <row r="859" spans="2:19" x14ac:dyDescent="0.15">
      <c r="B859" s="58"/>
      <c r="C859" s="58"/>
      <c r="D859" s="58"/>
      <c r="E859" s="58"/>
      <c r="F859" s="58"/>
      <c r="G859" s="58"/>
      <c r="H859" s="58"/>
      <c r="I859" s="58"/>
      <c r="J859" s="58"/>
      <c r="K859" s="58"/>
      <c r="L859" s="58"/>
      <c r="M859" s="58"/>
      <c r="N859" s="58"/>
      <c r="O859" s="58"/>
      <c r="P859" s="58"/>
      <c r="Q859" s="58"/>
      <c r="R859" s="58"/>
      <c r="S859" s="58"/>
    </row>
    <row r="860" spans="2:19" x14ac:dyDescent="0.15">
      <c r="B860" s="58"/>
      <c r="C860" s="58"/>
      <c r="D860" s="58"/>
      <c r="E860" s="58"/>
      <c r="F860" s="58"/>
      <c r="G860" s="58"/>
      <c r="H860" s="58"/>
      <c r="I860" s="58"/>
      <c r="J860" s="58"/>
      <c r="K860" s="58"/>
      <c r="L860" s="58"/>
      <c r="M860" s="58"/>
      <c r="N860" s="58"/>
      <c r="O860" s="58"/>
      <c r="P860" s="58"/>
      <c r="Q860" s="58"/>
      <c r="R860" s="58"/>
      <c r="S860" s="58"/>
    </row>
    <row r="861" spans="2:19" x14ac:dyDescent="0.15">
      <c r="B861" s="58"/>
      <c r="C861" s="58"/>
      <c r="D861" s="58"/>
      <c r="E861" s="58"/>
      <c r="F861" s="58"/>
      <c r="G861" s="58"/>
      <c r="H861" s="58"/>
      <c r="I861" s="58"/>
      <c r="J861" s="58"/>
      <c r="K861" s="58"/>
      <c r="L861" s="58"/>
      <c r="M861" s="58"/>
      <c r="N861" s="58"/>
      <c r="O861" s="58"/>
      <c r="P861" s="58"/>
      <c r="Q861" s="58"/>
      <c r="R861" s="58"/>
      <c r="S861" s="58"/>
    </row>
    <row r="862" spans="2:19" x14ac:dyDescent="0.15">
      <c r="B862" s="58"/>
      <c r="C862" s="58"/>
      <c r="D862" s="58"/>
      <c r="E862" s="58"/>
      <c r="F862" s="58"/>
      <c r="G862" s="58"/>
      <c r="H862" s="58"/>
      <c r="I862" s="58"/>
      <c r="J862" s="58"/>
      <c r="K862" s="58"/>
      <c r="L862" s="58"/>
      <c r="M862" s="58"/>
      <c r="N862" s="58"/>
      <c r="O862" s="58"/>
      <c r="P862" s="58"/>
      <c r="Q862" s="58"/>
      <c r="R862" s="58"/>
      <c r="S862" s="58"/>
    </row>
    <row r="863" spans="2:19" x14ac:dyDescent="0.15">
      <c r="B863" s="58"/>
      <c r="C863" s="58"/>
      <c r="D863" s="58"/>
      <c r="E863" s="58"/>
      <c r="F863" s="58"/>
      <c r="G863" s="58"/>
      <c r="H863" s="58"/>
      <c r="I863" s="58"/>
      <c r="J863" s="58"/>
      <c r="K863" s="58"/>
      <c r="L863" s="58"/>
      <c r="M863" s="58"/>
      <c r="N863" s="58"/>
      <c r="O863" s="58"/>
      <c r="P863" s="58"/>
      <c r="Q863" s="58"/>
      <c r="R863" s="58"/>
      <c r="S863" s="58"/>
    </row>
    <row r="864" spans="2:19" x14ac:dyDescent="0.15">
      <c r="B864" s="58"/>
      <c r="C864" s="58"/>
      <c r="D864" s="58"/>
      <c r="E864" s="58"/>
      <c r="F864" s="58"/>
      <c r="G864" s="58"/>
      <c r="H864" s="58"/>
      <c r="I864" s="58"/>
      <c r="J864" s="58"/>
      <c r="K864" s="58"/>
      <c r="L864" s="58"/>
      <c r="M864" s="58"/>
      <c r="N864" s="58"/>
      <c r="O864" s="58"/>
      <c r="P864" s="58"/>
      <c r="Q864" s="58"/>
      <c r="R864" s="58"/>
      <c r="S864" s="58"/>
    </row>
    <row r="865" spans="2:19" x14ac:dyDescent="0.15">
      <c r="B865" s="58"/>
      <c r="C865" s="58"/>
      <c r="D865" s="58"/>
      <c r="E865" s="58"/>
      <c r="F865" s="58"/>
      <c r="G865" s="58"/>
      <c r="H865" s="58"/>
      <c r="I865" s="58"/>
      <c r="J865" s="58"/>
      <c r="K865" s="58"/>
      <c r="L865" s="58"/>
      <c r="M865" s="58"/>
      <c r="N865" s="58"/>
      <c r="O865" s="58"/>
      <c r="P865" s="58"/>
      <c r="Q865" s="58"/>
      <c r="R865" s="58"/>
      <c r="S865" s="58"/>
    </row>
    <row r="866" spans="2:19" x14ac:dyDescent="0.15">
      <c r="B866" s="58"/>
      <c r="C866" s="58"/>
      <c r="D866" s="58"/>
      <c r="E866" s="58"/>
      <c r="F866" s="58"/>
      <c r="G866" s="58"/>
      <c r="H866" s="58"/>
      <c r="I866" s="58"/>
      <c r="J866" s="58"/>
      <c r="K866" s="58"/>
      <c r="L866" s="58"/>
      <c r="M866" s="58"/>
      <c r="N866" s="58"/>
      <c r="O866" s="58"/>
      <c r="P866" s="58"/>
      <c r="Q866" s="58"/>
      <c r="R866" s="58"/>
      <c r="S866" s="58"/>
    </row>
    <row r="867" spans="2:19" x14ac:dyDescent="0.15">
      <c r="B867" s="58"/>
      <c r="C867" s="58"/>
      <c r="D867" s="58"/>
      <c r="E867" s="58"/>
      <c r="F867" s="58"/>
      <c r="G867" s="58"/>
      <c r="H867" s="58"/>
      <c r="I867" s="58"/>
      <c r="J867" s="58"/>
      <c r="K867" s="58"/>
      <c r="L867" s="58"/>
      <c r="M867" s="58"/>
      <c r="N867" s="58"/>
      <c r="O867" s="58"/>
      <c r="P867" s="58"/>
      <c r="Q867" s="58"/>
      <c r="R867" s="58"/>
      <c r="S867" s="58"/>
    </row>
    <row r="868" spans="2:19" x14ac:dyDescent="0.15">
      <c r="B868" s="58"/>
      <c r="C868" s="58"/>
      <c r="D868" s="58"/>
      <c r="E868" s="58"/>
      <c r="F868" s="58"/>
      <c r="G868" s="58"/>
      <c r="H868" s="58"/>
      <c r="I868" s="58"/>
      <c r="J868" s="58"/>
      <c r="K868" s="58"/>
      <c r="L868" s="58"/>
      <c r="M868" s="58"/>
      <c r="N868" s="58"/>
      <c r="O868" s="58"/>
      <c r="P868" s="58"/>
      <c r="Q868" s="58"/>
      <c r="R868" s="58"/>
      <c r="S868" s="58"/>
    </row>
    <row r="869" spans="2:19" x14ac:dyDescent="0.15">
      <c r="B869" s="58"/>
      <c r="C869" s="58"/>
      <c r="D869" s="58"/>
      <c r="E869" s="58"/>
      <c r="F869" s="58"/>
      <c r="G869" s="58"/>
      <c r="H869" s="58"/>
      <c r="I869" s="58"/>
      <c r="J869" s="58"/>
      <c r="K869" s="58"/>
      <c r="L869" s="58"/>
      <c r="M869" s="58"/>
      <c r="N869" s="58"/>
      <c r="O869" s="58"/>
      <c r="P869" s="58"/>
      <c r="Q869" s="58"/>
      <c r="R869" s="58"/>
      <c r="S869" s="58"/>
    </row>
    <row r="870" spans="2:19" x14ac:dyDescent="0.15">
      <c r="B870" s="58"/>
      <c r="C870" s="58"/>
      <c r="D870" s="58"/>
      <c r="E870" s="58"/>
      <c r="F870" s="58"/>
      <c r="G870" s="58"/>
      <c r="H870" s="58"/>
      <c r="I870" s="58"/>
      <c r="J870" s="58"/>
      <c r="K870" s="58"/>
      <c r="L870" s="58"/>
      <c r="M870" s="58"/>
      <c r="N870" s="58"/>
      <c r="O870" s="58"/>
      <c r="P870" s="58"/>
      <c r="Q870" s="58"/>
      <c r="R870" s="58"/>
      <c r="S870" s="58"/>
    </row>
    <row r="871" spans="2:19" x14ac:dyDescent="0.15">
      <c r="B871" s="58"/>
      <c r="C871" s="58"/>
      <c r="D871" s="58"/>
      <c r="E871" s="58"/>
      <c r="F871" s="58"/>
      <c r="G871" s="58"/>
      <c r="H871" s="58"/>
      <c r="I871" s="58"/>
      <c r="J871" s="58"/>
      <c r="K871" s="58"/>
      <c r="L871" s="58"/>
      <c r="M871" s="58"/>
      <c r="N871" s="58"/>
      <c r="O871" s="58"/>
      <c r="P871" s="58"/>
      <c r="Q871" s="58"/>
      <c r="R871" s="58"/>
      <c r="S871" s="58"/>
    </row>
    <row r="872" spans="2:19" x14ac:dyDescent="0.15">
      <c r="B872" s="58"/>
      <c r="C872" s="58"/>
      <c r="D872" s="58"/>
      <c r="E872" s="58"/>
      <c r="F872" s="58"/>
      <c r="G872" s="58"/>
      <c r="H872" s="58"/>
      <c r="I872" s="58"/>
      <c r="J872" s="58"/>
      <c r="K872" s="58"/>
      <c r="L872" s="58"/>
      <c r="M872" s="58"/>
      <c r="N872" s="58"/>
      <c r="O872" s="58"/>
      <c r="P872" s="58"/>
      <c r="Q872" s="58"/>
      <c r="R872" s="58"/>
      <c r="S872" s="58"/>
    </row>
    <row r="873" spans="2:19" x14ac:dyDescent="0.15">
      <c r="B873" s="58"/>
      <c r="C873" s="58"/>
      <c r="D873" s="58"/>
      <c r="E873" s="58"/>
      <c r="F873" s="58"/>
      <c r="G873" s="58"/>
      <c r="H873" s="58"/>
      <c r="I873" s="58"/>
      <c r="J873" s="58"/>
      <c r="K873" s="58"/>
      <c r="L873" s="58"/>
      <c r="M873" s="58"/>
      <c r="N873" s="58"/>
      <c r="O873" s="58"/>
      <c r="P873" s="58"/>
      <c r="Q873" s="58"/>
      <c r="R873" s="58"/>
      <c r="S873" s="58"/>
    </row>
    <row r="874" spans="2:19" x14ac:dyDescent="0.15">
      <c r="B874" s="58"/>
      <c r="C874" s="58"/>
      <c r="D874" s="58"/>
      <c r="E874" s="58"/>
      <c r="F874" s="58"/>
      <c r="G874" s="58"/>
      <c r="H874" s="58"/>
      <c r="I874" s="58"/>
      <c r="J874" s="58"/>
      <c r="K874" s="58"/>
      <c r="L874" s="58"/>
      <c r="M874" s="58"/>
      <c r="N874" s="58"/>
      <c r="O874" s="58"/>
      <c r="P874" s="58"/>
      <c r="Q874" s="58"/>
      <c r="R874" s="58"/>
      <c r="S874" s="58"/>
    </row>
    <row r="875" spans="2:19" x14ac:dyDescent="0.15">
      <c r="B875" s="58"/>
      <c r="C875" s="58"/>
      <c r="D875" s="58"/>
      <c r="E875" s="58"/>
      <c r="F875" s="58"/>
      <c r="G875" s="58"/>
      <c r="H875" s="58"/>
      <c r="I875" s="58"/>
      <c r="J875" s="58"/>
      <c r="K875" s="58"/>
      <c r="L875" s="58"/>
      <c r="M875" s="58"/>
      <c r="N875" s="58"/>
      <c r="O875" s="58"/>
      <c r="P875" s="58"/>
      <c r="Q875" s="58"/>
      <c r="R875" s="58"/>
      <c r="S875" s="58"/>
    </row>
    <row r="876" spans="2:19" x14ac:dyDescent="0.15">
      <c r="B876" s="58"/>
      <c r="C876" s="58"/>
      <c r="D876" s="58"/>
      <c r="E876" s="58"/>
      <c r="F876" s="58"/>
      <c r="G876" s="58"/>
      <c r="H876" s="58"/>
      <c r="I876" s="58"/>
      <c r="J876" s="58"/>
      <c r="K876" s="58"/>
      <c r="L876" s="58"/>
      <c r="M876" s="58"/>
      <c r="N876" s="58"/>
      <c r="O876" s="58"/>
      <c r="P876" s="58"/>
      <c r="Q876" s="58"/>
      <c r="R876" s="58"/>
      <c r="S876" s="58"/>
    </row>
    <row r="877" spans="2:19" x14ac:dyDescent="0.15">
      <c r="B877" s="58"/>
      <c r="C877" s="58"/>
      <c r="D877" s="58"/>
      <c r="E877" s="58"/>
      <c r="F877" s="58"/>
      <c r="G877" s="58"/>
      <c r="H877" s="58"/>
      <c r="I877" s="58"/>
      <c r="J877" s="58"/>
      <c r="K877" s="58"/>
      <c r="L877" s="58"/>
      <c r="M877" s="58"/>
      <c r="N877" s="58"/>
      <c r="O877" s="58"/>
      <c r="P877" s="58"/>
      <c r="Q877" s="58"/>
      <c r="R877" s="58"/>
      <c r="S877" s="58"/>
    </row>
    <row r="878" spans="2:19" x14ac:dyDescent="0.15">
      <c r="B878" s="58"/>
      <c r="C878" s="58"/>
      <c r="D878" s="58"/>
      <c r="E878" s="58"/>
      <c r="F878" s="58"/>
      <c r="G878" s="58"/>
      <c r="H878" s="58"/>
      <c r="I878" s="58"/>
      <c r="J878" s="58"/>
      <c r="K878" s="58"/>
      <c r="L878" s="58"/>
      <c r="M878" s="58"/>
      <c r="N878" s="58"/>
      <c r="O878" s="58"/>
      <c r="P878" s="58"/>
      <c r="Q878" s="58"/>
      <c r="R878" s="58"/>
      <c r="S878" s="58"/>
    </row>
    <row r="879" spans="2:19" x14ac:dyDescent="0.15">
      <c r="B879" s="58"/>
      <c r="C879" s="58"/>
      <c r="D879" s="58"/>
      <c r="E879" s="58"/>
      <c r="F879" s="58"/>
      <c r="G879" s="58"/>
      <c r="H879" s="58"/>
      <c r="I879" s="58"/>
      <c r="J879" s="58"/>
      <c r="K879" s="58"/>
      <c r="L879" s="58"/>
      <c r="M879" s="58"/>
      <c r="N879" s="58"/>
      <c r="O879" s="58"/>
      <c r="P879" s="58"/>
      <c r="Q879" s="58"/>
      <c r="R879" s="58"/>
      <c r="S879" s="58"/>
    </row>
    <row r="880" spans="2:19" x14ac:dyDescent="0.15">
      <c r="B880" s="58"/>
      <c r="C880" s="58"/>
      <c r="D880" s="58"/>
      <c r="E880" s="58"/>
      <c r="F880" s="58"/>
      <c r="G880" s="58"/>
      <c r="H880" s="58"/>
      <c r="I880" s="58"/>
      <c r="J880" s="58"/>
      <c r="K880" s="58"/>
      <c r="L880" s="58"/>
      <c r="M880" s="58"/>
      <c r="N880" s="58"/>
      <c r="O880" s="58"/>
      <c r="P880" s="58"/>
      <c r="Q880" s="58"/>
      <c r="R880" s="58"/>
      <c r="S880" s="58"/>
    </row>
    <row r="881" spans="2:19" x14ac:dyDescent="0.15">
      <c r="B881" s="58"/>
      <c r="C881" s="58"/>
      <c r="D881" s="58"/>
      <c r="E881" s="58"/>
      <c r="F881" s="58"/>
      <c r="G881" s="58"/>
      <c r="H881" s="58"/>
      <c r="I881" s="58"/>
      <c r="J881" s="58"/>
      <c r="K881" s="58"/>
      <c r="L881" s="58"/>
      <c r="M881" s="58"/>
      <c r="N881" s="58"/>
      <c r="O881" s="58"/>
      <c r="P881" s="58"/>
      <c r="Q881" s="58"/>
      <c r="R881" s="58"/>
      <c r="S881" s="58"/>
    </row>
    <row r="882" spans="2:19" x14ac:dyDescent="0.15">
      <c r="B882" s="58"/>
      <c r="C882" s="58"/>
      <c r="D882" s="58"/>
      <c r="E882" s="58"/>
      <c r="F882" s="58"/>
      <c r="G882" s="58"/>
      <c r="H882" s="58"/>
      <c r="I882" s="58"/>
      <c r="J882" s="58"/>
      <c r="K882" s="58"/>
      <c r="L882" s="58"/>
      <c r="M882" s="58"/>
      <c r="N882" s="58"/>
      <c r="O882" s="58"/>
      <c r="P882" s="58"/>
      <c r="Q882" s="58"/>
      <c r="R882" s="58"/>
      <c r="S882" s="58"/>
    </row>
    <row r="883" spans="2:19" x14ac:dyDescent="0.15">
      <c r="B883" s="58"/>
      <c r="C883" s="58"/>
      <c r="D883" s="58"/>
      <c r="E883" s="58"/>
      <c r="F883" s="58"/>
      <c r="G883" s="58"/>
      <c r="H883" s="58"/>
      <c r="I883" s="58"/>
      <c r="J883" s="58"/>
      <c r="K883" s="58"/>
      <c r="L883" s="58"/>
      <c r="M883" s="58"/>
      <c r="N883" s="58"/>
      <c r="O883" s="58"/>
      <c r="P883" s="58"/>
      <c r="Q883" s="58"/>
      <c r="R883" s="58"/>
      <c r="S883" s="58"/>
    </row>
    <row r="884" spans="2:19" x14ac:dyDescent="0.15">
      <c r="B884" s="58"/>
      <c r="C884" s="58"/>
      <c r="D884" s="58"/>
      <c r="E884" s="58"/>
      <c r="F884" s="58"/>
      <c r="G884" s="58"/>
      <c r="H884" s="58"/>
      <c r="I884" s="58"/>
      <c r="J884" s="58"/>
      <c r="K884" s="58"/>
      <c r="L884" s="58"/>
      <c r="M884" s="58"/>
      <c r="N884" s="58"/>
      <c r="O884" s="58"/>
      <c r="P884" s="58"/>
      <c r="Q884" s="58"/>
      <c r="R884" s="58"/>
      <c r="S884" s="58"/>
    </row>
    <row r="885" spans="2:19" x14ac:dyDescent="0.15">
      <c r="B885" s="58"/>
      <c r="C885" s="58"/>
      <c r="D885" s="58"/>
      <c r="E885" s="58"/>
      <c r="F885" s="58"/>
      <c r="G885" s="58"/>
      <c r="H885" s="58"/>
      <c r="I885" s="58"/>
      <c r="J885" s="58"/>
      <c r="K885" s="58"/>
      <c r="L885" s="58"/>
      <c r="M885" s="58"/>
      <c r="N885" s="58"/>
      <c r="O885" s="58"/>
      <c r="P885" s="58"/>
      <c r="Q885" s="58"/>
      <c r="R885" s="58"/>
      <c r="S885" s="58"/>
    </row>
    <row r="886" spans="2:19" x14ac:dyDescent="0.15">
      <c r="B886" s="58"/>
      <c r="C886" s="58"/>
      <c r="D886" s="58"/>
      <c r="E886" s="58"/>
      <c r="F886" s="58"/>
      <c r="G886" s="58"/>
      <c r="H886" s="58"/>
      <c r="I886" s="58"/>
      <c r="J886" s="58"/>
      <c r="K886" s="58"/>
      <c r="L886" s="58"/>
      <c r="M886" s="58"/>
      <c r="N886" s="58"/>
      <c r="O886" s="58"/>
      <c r="P886" s="58"/>
      <c r="Q886" s="58"/>
      <c r="R886" s="58"/>
      <c r="S886" s="58"/>
    </row>
    <row r="887" spans="2:19" x14ac:dyDescent="0.15">
      <c r="B887" s="58"/>
      <c r="C887" s="58"/>
      <c r="D887" s="58"/>
      <c r="E887" s="58"/>
      <c r="F887" s="58"/>
      <c r="G887" s="58"/>
      <c r="H887" s="58"/>
      <c r="I887" s="58"/>
      <c r="J887" s="58"/>
      <c r="K887" s="58"/>
      <c r="L887" s="58"/>
      <c r="M887" s="58"/>
      <c r="N887" s="58"/>
      <c r="O887" s="58"/>
      <c r="P887" s="58"/>
      <c r="Q887" s="58"/>
      <c r="R887" s="58"/>
      <c r="S887" s="58"/>
    </row>
    <row r="888" spans="2:19" x14ac:dyDescent="0.15">
      <c r="B888" s="58"/>
      <c r="C888" s="58"/>
      <c r="D888" s="58"/>
      <c r="E888" s="58"/>
      <c r="F888" s="58"/>
      <c r="G888" s="58"/>
      <c r="H888" s="58"/>
      <c r="I888" s="58"/>
      <c r="J888" s="58"/>
      <c r="K888" s="58"/>
      <c r="L888" s="58"/>
      <c r="M888" s="58"/>
      <c r="N888" s="58"/>
      <c r="O888" s="58"/>
      <c r="P888" s="58"/>
      <c r="Q888" s="58"/>
      <c r="R888" s="58"/>
      <c r="S888" s="58"/>
    </row>
    <row r="889" spans="2:19" x14ac:dyDescent="0.15">
      <c r="B889" s="58"/>
      <c r="C889" s="58"/>
      <c r="D889" s="58"/>
      <c r="E889" s="58"/>
      <c r="F889" s="58"/>
      <c r="G889" s="58"/>
      <c r="H889" s="58"/>
      <c r="I889" s="58"/>
      <c r="J889" s="58"/>
      <c r="K889" s="58"/>
      <c r="L889" s="58"/>
      <c r="M889" s="58"/>
      <c r="N889" s="58"/>
      <c r="O889" s="58"/>
      <c r="P889" s="58"/>
      <c r="Q889" s="58"/>
      <c r="R889" s="58"/>
      <c r="S889" s="58"/>
    </row>
    <row r="890" spans="2:19" x14ac:dyDescent="0.15">
      <c r="B890" s="58"/>
      <c r="C890" s="58"/>
      <c r="D890" s="58"/>
      <c r="E890" s="58"/>
      <c r="F890" s="58"/>
      <c r="G890" s="58"/>
      <c r="H890" s="58"/>
      <c r="I890" s="58"/>
      <c r="J890" s="58"/>
      <c r="K890" s="58"/>
      <c r="L890" s="58"/>
      <c r="M890" s="58"/>
      <c r="N890" s="58"/>
      <c r="O890" s="58"/>
      <c r="P890" s="58"/>
      <c r="Q890" s="58"/>
      <c r="R890" s="58"/>
      <c r="S890" s="58"/>
    </row>
    <row r="891" spans="2:19" x14ac:dyDescent="0.15">
      <c r="B891" s="58"/>
      <c r="C891" s="58"/>
      <c r="D891" s="58"/>
      <c r="E891" s="58"/>
      <c r="F891" s="58"/>
      <c r="G891" s="58"/>
      <c r="H891" s="58"/>
      <c r="I891" s="58"/>
      <c r="J891" s="58"/>
      <c r="K891" s="58"/>
      <c r="L891" s="58"/>
      <c r="M891" s="58"/>
      <c r="N891" s="58"/>
      <c r="O891" s="58"/>
      <c r="P891" s="58"/>
      <c r="Q891" s="58"/>
      <c r="R891" s="58"/>
      <c r="S891" s="58"/>
    </row>
    <row r="892" spans="2:19" x14ac:dyDescent="0.15">
      <c r="B892" s="58"/>
      <c r="C892" s="58"/>
      <c r="D892" s="58"/>
      <c r="E892" s="58"/>
      <c r="F892" s="58"/>
      <c r="G892" s="58"/>
      <c r="H892" s="58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</row>
    <row r="893" spans="2:19" x14ac:dyDescent="0.15">
      <c r="B893" s="58"/>
      <c r="C893" s="58"/>
      <c r="D893" s="58"/>
      <c r="E893" s="58"/>
      <c r="F893" s="58"/>
      <c r="G893" s="58"/>
      <c r="H893" s="58"/>
      <c r="I893" s="58"/>
      <c r="J893" s="58"/>
      <c r="K893" s="58"/>
      <c r="L893" s="58"/>
      <c r="M893" s="58"/>
      <c r="N893" s="58"/>
      <c r="O893" s="58"/>
      <c r="P893" s="58"/>
      <c r="Q893" s="58"/>
      <c r="R893" s="58"/>
      <c r="S893" s="58"/>
    </row>
    <row r="894" spans="2:19" x14ac:dyDescent="0.15">
      <c r="B894" s="58"/>
      <c r="C894" s="58"/>
      <c r="D894" s="58"/>
      <c r="E894" s="58"/>
      <c r="F894" s="58"/>
      <c r="G894" s="58"/>
      <c r="H894" s="58"/>
      <c r="I894" s="58"/>
      <c r="J894" s="58"/>
      <c r="K894" s="58"/>
      <c r="L894" s="58"/>
      <c r="M894" s="58"/>
      <c r="N894" s="58"/>
      <c r="O894" s="58"/>
      <c r="P894" s="58"/>
      <c r="Q894" s="58"/>
      <c r="R894" s="58"/>
      <c r="S894" s="58"/>
    </row>
    <row r="895" spans="2:19" x14ac:dyDescent="0.15">
      <c r="B895" s="58"/>
      <c r="C895" s="58"/>
      <c r="D895" s="58"/>
      <c r="E895" s="58"/>
      <c r="F895" s="58"/>
      <c r="G895" s="58"/>
      <c r="H895" s="58"/>
      <c r="I895" s="58"/>
      <c r="J895" s="58"/>
      <c r="K895" s="58"/>
      <c r="L895" s="58"/>
      <c r="M895" s="58"/>
      <c r="N895" s="58"/>
      <c r="O895" s="58"/>
      <c r="P895" s="58"/>
      <c r="Q895" s="58"/>
      <c r="R895" s="58"/>
      <c r="S895" s="58"/>
    </row>
    <row r="896" spans="2:19" x14ac:dyDescent="0.15">
      <c r="B896" s="58"/>
      <c r="C896" s="58"/>
      <c r="D896" s="58"/>
      <c r="E896" s="58"/>
      <c r="F896" s="58"/>
      <c r="G896" s="58"/>
      <c r="H896" s="58"/>
      <c r="I896" s="58"/>
      <c r="J896" s="58"/>
      <c r="K896" s="58"/>
      <c r="L896" s="58"/>
      <c r="M896" s="58"/>
      <c r="N896" s="58"/>
      <c r="O896" s="58"/>
      <c r="P896" s="58"/>
      <c r="Q896" s="58"/>
      <c r="R896" s="58"/>
      <c r="S896" s="58"/>
    </row>
    <row r="897" spans="2:19" x14ac:dyDescent="0.15">
      <c r="B897" s="58"/>
      <c r="C897" s="58"/>
      <c r="D897" s="58"/>
      <c r="E897" s="58"/>
      <c r="F897" s="58"/>
      <c r="G897" s="58"/>
      <c r="H897" s="58"/>
      <c r="I897" s="58"/>
      <c r="J897" s="58"/>
      <c r="K897" s="58"/>
      <c r="L897" s="58"/>
      <c r="M897" s="58"/>
      <c r="N897" s="58"/>
      <c r="O897" s="58"/>
      <c r="P897" s="58"/>
      <c r="Q897" s="58"/>
      <c r="R897" s="58"/>
      <c r="S897" s="58"/>
    </row>
    <row r="898" spans="2:19" x14ac:dyDescent="0.15">
      <c r="B898" s="58"/>
      <c r="C898" s="58"/>
      <c r="D898" s="58"/>
      <c r="E898" s="58"/>
      <c r="F898" s="58"/>
      <c r="G898" s="58"/>
      <c r="H898" s="58"/>
      <c r="I898" s="58"/>
      <c r="J898" s="58"/>
      <c r="K898" s="58"/>
      <c r="L898" s="58"/>
      <c r="M898" s="58"/>
      <c r="N898" s="58"/>
      <c r="O898" s="58"/>
      <c r="P898" s="58"/>
      <c r="Q898" s="58"/>
      <c r="R898" s="58"/>
      <c r="S898" s="58"/>
    </row>
    <row r="899" spans="2:19" x14ac:dyDescent="0.15">
      <c r="B899" s="58"/>
      <c r="C899" s="58"/>
      <c r="D899" s="58"/>
      <c r="E899" s="58"/>
      <c r="F899" s="58"/>
      <c r="G899" s="58"/>
      <c r="H899" s="58"/>
      <c r="I899" s="58"/>
      <c r="J899" s="58"/>
      <c r="K899" s="58"/>
      <c r="L899" s="58"/>
      <c r="M899" s="58"/>
      <c r="N899" s="58"/>
      <c r="O899" s="58"/>
      <c r="P899" s="58"/>
      <c r="Q899" s="58"/>
      <c r="R899" s="58"/>
      <c r="S899" s="58"/>
    </row>
    <row r="900" spans="2:19" x14ac:dyDescent="0.15">
      <c r="B900" s="58"/>
      <c r="C900" s="58"/>
      <c r="D900" s="58"/>
      <c r="E900" s="58"/>
      <c r="F900" s="58"/>
      <c r="G900" s="58"/>
      <c r="H900" s="58"/>
      <c r="I900" s="58"/>
      <c r="J900" s="58"/>
      <c r="K900" s="58"/>
      <c r="L900" s="58"/>
      <c r="M900" s="58"/>
      <c r="N900" s="58"/>
      <c r="O900" s="58"/>
      <c r="P900" s="58"/>
      <c r="Q900" s="58"/>
      <c r="R900" s="58"/>
      <c r="S900" s="58"/>
    </row>
    <row r="901" spans="2:19" x14ac:dyDescent="0.15">
      <c r="B901" s="58"/>
      <c r="C901" s="58"/>
      <c r="D901" s="58"/>
      <c r="E901" s="58"/>
      <c r="F901" s="58"/>
      <c r="G901" s="58"/>
      <c r="H901" s="58"/>
      <c r="I901" s="58"/>
      <c r="J901" s="58"/>
      <c r="K901" s="58"/>
      <c r="L901" s="58"/>
      <c r="M901" s="58"/>
      <c r="N901" s="58"/>
      <c r="O901" s="58"/>
      <c r="P901" s="58"/>
      <c r="Q901" s="58"/>
      <c r="R901" s="58"/>
      <c r="S901" s="58"/>
    </row>
    <row r="902" spans="2:19" x14ac:dyDescent="0.15">
      <c r="B902" s="58"/>
      <c r="C902" s="58"/>
      <c r="D902" s="58"/>
      <c r="E902" s="58"/>
      <c r="F902" s="58"/>
      <c r="G902" s="58"/>
      <c r="H902" s="58"/>
      <c r="I902" s="58"/>
      <c r="J902" s="58"/>
      <c r="K902" s="58"/>
      <c r="L902" s="58"/>
      <c r="M902" s="58"/>
      <c r="N902" s="58"/>
      <c r="O902" s="58"/>
      <c r="P902" s="58"/>
      <c r="Q902" s="58"/>
      <c r="R902" s="58"/>
      <c r="S902" s="58"/>
    </row>
    <row r="903" spans="2:19" x14ac:dyDescent="0.15">
      <c r="B903" s="58"/>
      <c r="C903" s="58"/>
      <c r="D903" s="58"/>
      <c r="E903" s="58"/>
      <c r="F903" s="58"/>
      <c r="G903" s="58"/>
      <c r="H903" s="58"/>
      <c r="I903" s="58"/>
      <c r="J903" s="58"/>
      <c r="K903" s="58"/>
      <c r="L903" s="58"/>
      <c r="M903" s="58"/>
      <c r="N903" s="58"/>
      <c r="O903" s="58"/>
      <c r="P903" s="58"/>
      <c r="Q903" s="58"/>
      <c r="R903" s="58"/>
      <c r="S903" s="58"/>
    </row>
    <row r="904" spans="2:19" x14ac:dyDescent="0.15">
      <c r="B904" s="58"/>
      <c r="C904" s="58"/>
      <c r="D904" s="58"/>
      <c r="E904" s="58"/>
      <c r="F904" s="58"/>
      <c r="G904" s="58"/>
      <c r="H904" s="58"/>
      <c r="I904" s="58"/>
      <c r="J904" s="58"/>
      <c r="K904" s="58"/>
      <c r="L904" s="58"/>
      <c r="M904" s="58"/>
      <c r="N904" s="58"/>
      <c r="O904" s="58"/>
      <c r="P904" s="58"/>
      <c r="Q904" s="58"/>
      <c r="R904" s="58"/>
      <c r="S904" s="58"/>
    </row>
    <row r="905" spans="2:19" x14ac:dyDescent="0.15">
      <c r="B905" s="58"/>
      <c r="C905" s="58"/>
      <c r="D905" s="58"/>
      <c r="E905" s="58"/>
      <c r="F905" s="58"/>
      <c r="G905" s="58"/>
      <c r="H905" s="58"/>
      <c r="I905" s="58"/>
      <c r="J905" s="58"/>
      <c r="K905" s="58"/>
      <c r="L905" s="58"/>
      <c r="M905" s="58"/>
      <c r="N905" s="58"/>
      <c r="O905" s="58"/>
      <c r="P905" s="58"/>
      <c r="Q905" s="58"/>
      <c r="R905" s="58"/>
      <c r="S905" s="58"/>
    </row>
    <row r="906" spans="2:19" x14ac:dyDescent="0.15">
      <c r="B906" s="58"/>
      <c r="C906" s="58"/>
      <c r="D906" s="58"/>
      <c r="E906" s="58"/>
      <c r="F906" s="58"/>
      <c r="G906" s="58"/>
      <c r="H906" s="58"/>
      <c r="I906" s="58"/>
      <c r="J906" s="58"/>
      <c r="K906" s="58"/>
      <c r="L906" s="58"/>
      <c r="M906" s="58"/>
      <c r="N906" s="58"/>
      <c r="O906" s="58"/>
      <c r="P906" s="58"/>
      <c r="Q906" s="58"/>
      <c r="R906" s="58"/>
      <c r="S906" s="58"/>
    </row>
    <row r="907" spans="2:19" x14ac:dyDescent="0.15">
      <c r="B907" s="58"/>
      <c r="C907" s="58"/>
      <c r="D907" s="58"/>
      <c r="E907" s="58"/>
      <c r="F907" s="58"/>
      <c r="G907" s="58"/>
      <c r="H907" s="58"/>
      <c r="I907" s="58"/>
      <c r="J907" s="58"/>
      <c r="K907" s="58"/>
      <c r="L907" s="58"/>
      <c r="M907" s="58"/>
      <c r="N907" s="58"/>
      <c r="O907" s="58"/>
      <c r="P907" s="58"/>
      <c r="Q907" s="58"/>
      <c r="R907" s="58"/>
      <c r="S907" s="58"/>
    </row>
    <row r="908" spans="2:19" x14ac:dyDescent="0.15">
      <c r="B908" s="58"/>
      <c r="C908" s="58"/>
      <c r="D908" s="58"/>
      <c r="E908" s="58"/>
      <c r="F908" s="58"/>
      <c r="G908" s="58"/>
      <c r="H908" s="58"/>
      <c r="I908" s="58"/>
      <c r="J908" s="58"/>
      <c r="K908" s="58"/>
      <c r="L908" s="58"/>
      <c r="M908" s="58"/>
      <c r="N908" s="58"/>
      <c r="O908" s="58"/>
      <c r="P908" s="58"/>
      <c r="Q908" s="58"/>
      <c r="R908" s="58"/>
      <c r="S908" s="58"/>
    </row>
    <row r="909" spans="2:19" x14ac:dyDescent="0.15">
      <c r="B909" s="58"/>
      <c r="C909" s="58"/>
      <c r="D909" s="58"/>
      <c r="E909" s="58"/>
      <c r="F909" s="58"/>
      <c r="G909" s="58"/>
      <c r="H909" s="58"/>
      <c r="I909" s="58"/>
      <c r="J909" s="58"/>
      <c r="K909" s="58"/>
      <c r="L909" s="58"/>
      <c r="M909" s="58"/>
      <c r="N909" s="58"/>
      <c r="O909" s="58"/>
      <c r="P909" s="58"/>
      <c r="Q909" s="58"/>
      <c r="R909" s="58"/>
      <c r="S909" s="58"/>
    </row>
    <row r="910" spans="2:19" x14ac:dyDescent="0.15">
      <c r="B910" s="58"/>
      <c r="C910" s="58"/>
      <c r="D910" s="58"/>
      <c r="E910" s="58"/>
      <c r="F910" s="58"/>
      <c r="G910" s="58"/>
      <c r="H910" s="58"/>
      <c r="I910" s="58"/>
      <c r="J910" s="58"/>
      <c r="K910" s="58"/>
      <c r="L910" s="58"/>
      <c r="M910" s="58"/>
      <c r="N910" s="58"/>
      <c r="O910" s="58"/>
      <c r="P910" s="58"/>
      <c r="Q910" s="58"/>
      <c r="R910" s="58"/>
      <c r="S910" s="58"/>
    </row>
    <row r="911" spans="2:19" x14ac:dyDescent="0.15">
      <c r="B911" s="58"/>
      <c r="C911" s="58"/>
      <c r="D911" s="58"/>
      <c r="E911" s="58"/>
      <c r="F911" s="58"/>
      <c r="G911" s="58"/>
      <c r="H911" s="58"/>
      <c r="I911" s="58"/>
      <c r="J911" s="58"/>
      <c r="K911" s="58"/>
      <c r="L911" s="58"/>
      <c r="M911" s="58"/>
      <c r="N911" s="58"/>
      <c r="O911" s="58"/>
      <c r="P911" s="58"/>
      <c r="Q911" s="58"/>
      <c r="R911" s="58"/>
      <c r="S911" s="58"/>
    </row>
    <row r="912" spans="2:19" x14ac:dyDescent="0.15">
      <c r="B912" s="58"/>
      <c r="C912" s="58"/>
      <c r="D912" s="58"/>
      <c r="E912" s="58"/>
      <c r="F912" s="58"/>
      <c r="G912" s="58"/>
      <c r="H912" s="58"/>
      <c r="I912" s="58"/>
      <c r="J912" s="58"/>
      <c r="K912" s="58"/>
      <c r="L912" s="58"/>
      <c r="M912" s="58"/>
      <c r="N912" s="58"/>
      <c r="O912" s="58"/>
      <c r="P912" s="58"/>
      <c r="Q912" s="58"/>
      <c r="R912" s="58"/>
      <c r="S912" s="58"/>
    </row>
    <row r="913" spans="2:19" x14ac:dyDescent="0.15">
      <c r="B913" s="58"/>
      <c r="C913" s="58"/>
      <c r="D913" s="58"/>
      <c r="E913" s="58"/>
      <c r="F913" s="58"/>
      <c r="G913" s="58"/>
      <c r="H913" s="58"/>
      <c r="I913" s="58"/>
      <c r="J913" s="58"/>
      <c r="K913" s="58"/>
      <c r="L913" s="58"/>
      <c r="M913" s="58"/>
      <c r="N913" s="58"/>
      <c r="O913" s="58"/>
      <c r="P913" s="58"/>
      <c r="Q913" s="58"/>
      <c r="R913" s="58"/>
      <c r="S913" s="58"/>
    </row>
    <row r="914" spans="2:19" x14ac:dyDescent="0.15">
      <c r="B914" s="58"/>
      <c r="C914" s="58"/>
      <c r="D914" s="58"/>
      <c r="E914" s="58"/>
      <c r="F914" s="58"/>
      <c r="G914" s="58"/>
      <c r="H914" s="58"/>
      <c r="I914" s="58"/>
      <c r="J914" s="58"/>
      <c r="K914" s="58"/>
      <c r="L914" s="58"/>
      <c r="M914" s="58"/>
      <c r="N914" s="58"/>
      <c r="O914" s="58"/>
      <c r="P914" s="58"/>
      <c r="Q914" s="58"/>
      <c r="R914" s="58"/>
      <c r="S914" s="58"/>
    </row>
    <row r="915" spans="2:19" x14ac:dyDescent="0.15">
      <c r="B915" s="58"/>
      <c r="C915" s="58"/>
      <c r="D915" s="58"/>
      <c r="E915" s="58"/>
      <c r="F915" s="58"/>
      <c r="G915" s="58"/>
      <c r="H915" s="58"/>
      <c r="I915" s="58"/>
      <c r="J915" s="58"/>
      <c r="K915" s="58"/>
      <c r="L915" s="58"/>
      <c r="M915" s="58"/>
      <c r="N915" s="58"/>
      <c r="O915" s="58"/>
      <c r="P915" s="58"/>
      <c r="Q915" s="58"/>
      <c r="R915" s="58"/>
      <c r="S915" s="58"/>
    </row>
    <row r="916" spans="2:19" x14ac:dyDescent="0.15">
      <c r="B916" s="58"/>
      <c r="C916" s="58"/>
      <c r="D916" s="58"/>
      <c r="E916" s="58"/>
      <c r="F916" s="58"/>
      <c r="G916" s="58"/>
      <c r="H916" s="58"/>
      <c r="I916" s="58"/>
      <c r="J916" s="58"/>
      <c r="K916" s="58"/>
      <c r="L916" s="58"/>
      <c r="M916" s="58"/>
      <c r="N916" s="58"/>
      <c r="O916" s="58"/>
      <c r="P916" s="58"/>
      <c r="Q916" s="58"/>
      <c r="R916" s="58"/>
      <c r="S916" s="58"/>
    </row>
    <row r="917" spans="2:19" x14ac:dyDescent="0.15">
      <c r="B917" s="58"/>
      <c r="C917" s="58"/>
      <c r="D917" s="58"/>
      <c r="E917" s="58"/>
      <c r="F917" s="58"/>
      <c r="G917" s="58"/>
      <c r="H917" s="58"/>
      <c r="I917" s="58"/>
      <c r="J917" s="58"/>
      <c r="K917" s="58"/>
      <c r="L917" s="58"/>
      <c r="M917" s="58"/>
      <c r="N917" s="58"/>
      <c r="O917" s="58"/>
      <c r="P917" s="58"/>
      <c r="Q917" s="58"/>
      <c r="R917" s="58"/>
      <c r="S917" s="58"/>
    </row>
    <row r="918" spans="2:19" x14ac:dyDescent="0.15">
      <c r="B918" s="58"/>
      <c r="C918" s="58"/>
      <c r="D918" s="58"/>
      <c r="E918" s="58"/>
      <c r="F918" s="58"/>
      <c r="G918" s="58"/>
      <c r="H918" s="58"/>
      <c r="I918" s="58"/>
      <c r="J918" s="58"/>
      <c r="K918" s="58"/>
      <c r="L918" s="58"/>
      <c r="M918" s="58"/>
      <c r="N918" s="58"/>
      <c r="O918" s="58"/>
      <c r="P918" s="58"/>
      <c r="Q918" s="58"/>
      <c r="R918" s="58"/>
      <c r="S918" s="58"/>
    </row>
    <row r="919" spans="2:19" x14ac:dyDescent="0.15">
      <c r="B919" s="58"/>
      <c r="C919" s="58"/>
      <c r="D919" s="58"/>
      <c r="E919" s="58"/>
      <c r="F919" s="58"/>
      <c r="G919" s="58"/>
      <c r="H919" s="58"/>
      <c r="I919" s="58"/>
      <c r="J919" s="58"/>
      <c r="K919" s="58"/>
      <c r="L919" s="58"/>
      <c r="M919" s="58"/>
      <c r="N919" s="58"/>
      <c r="O919" s="58"/>
      <c r="P919" s="58"/>
      <c r="Q919" s="58"/>
      <c r="R919" s="58"/>
      <c r="S919" s="58"/>
    </row>
    <row r="920" spans="2:19" x14ac:dyDescent="0.15">
      <c r="B920" s="58"/>
      <c r="C920" s="58"/>
      <c r="D920" s="58"/>
      <c r="E920" s="58"/>
      <c r="F920" s="58"/>
      <c r="G920" s="58"/>
      <c r="H920" s="58"/>
      <c r="I920" s="58"/>
      <c r="J920" s="58"/>
      <c r="K920" s="58"/>
      <c r="L920" s="58"/>
      <c r="M920" s="58"/>
      <c r="N920" s="58"/>
      <c r="O920" s="58"/>
      <c r="P920" s="58"/>
      <c r="Q920" s="58"/>
      <c r="R920" s="58"/>
      <c r="S920" s="58"/>
    </row>
    <row r="921" spans="2:19" x14ac:dyDescent="0.15">
      <c r="B921" s="58"/>
      <c r="C921" s="58"/>
      <c r="D921" s="58"/>
      <c r="E921" s="58"/>
      <c r="F921" s="58"/>
      <c r="G921" s="58"/>
      <c r="H921" s="58"/>
      <c r="I921" s="58"/>
      <c r="J921" s="58"/>
      <c r="K921" s="58"/>
      <c r="L921" s="58"/>
      <c r="M921" s="58"/>
      <c r="N921" s="58"/>
      <c r="O921" s="58"/>
      <c r="P921" s="58"/>
      <c r="Q921" s="58"/>
      <c r="R921" s="58"/>
      <c r="S921" s="58"/>
    </row>
    <row r="922" spans="2:19" x14ac:dyDescent="0.15">
      <c r="B922" s="58"/>
      <c r="C922" s="58"/>
      <c r="D922" s="58"/>
      <c r="E922" s="58"/>
      <c r="F922" s="58"/>
      <c r="G922" s="58"/>
      <c r="H922" s="58"/>
      <c r="I922" s="58"/>
      <c r="J922" s="58"/>
      <c r="K922" s="58"/>
      <c r="L922" s="58"/>
      <c r="M922" s="58"/>
      <c r="N922" s="58"/>
      <c r="O922" s="58"/>
      <c r="P922" s="58"/>
      <c r="Q922" s="58"/>
      <c r="R922" s="58"/>
      <c r="S922" s="58"/>
    </row>
    <row r="923" spans="2:19" x14ac:dyDescent="0.15">
      <c r="B923" s="58"/>
      <c r="C923" s="58"/>
      <c r="D923" s="58"/>
      <c r="E923" s="58"/>
      <c r="F923" s="58"/>
      <c r="G923" s="58"/>
      <c r="H923" s="58"/>
      <c r="I923" s="58"/>
      <c r="J923" s="58"/>
      <c r="K923" s="58"/>
      <c r="L923" s="58"/>
      <c r="M923" s="58"/>
      <c r="N923" s="58"/>
      <c r="O923" s="58"/>
      <c r="P923" s="58"/>
      <c r="Q923" s="58"/>
      <c r="R923" s="58"/>
      <c r="S923" s="58"/>
    </row>
    <row r="924" spans="2:19" x14ac:dyDescent="0.15">
      <c r="B924" s="58"/>
      <c r="C924" s="58"/>
      <c r="D924" s="58"/>
      <c r="E924" s="58"/>
      <c r="F924" s="58"/>
      <c r="G924" s="58"/>
      <c r="H924" s="58"/>
      <c r="I924" s="58"/>
      <c r="J924" s="58"/>
      <c r="K924" s="58"/>
      <c r="L924" s="58"/>
      <c r="M924" s="58"/>
      <c r="N924" s="58"/>
      <c r="O924" s="58"/>
      <c r="P924" s="58"/>
      <c r="Q924" s="58"/>
      <c r="R924" s="58"/>
      <c r="S924" s="58"/>
    </row>
    <row r="925" spans="2:19" x14ac:dyDescent="0.15">
      <c r="B925" s="58"/>
      <c r="C925" s="58"/>
      <c r="D925" s="58"/>
      <c r="E925" s="58"/>
      <c r="F925" s="58"/>
      <c r="G925" s="58"/>
      <c r="H925" s="58"/>
      <c r="I925" s="58"/>
      <c r="J925" s="58"/>
      <c r="K925" s="58"/>
      <c r="L925" s="58"/>
      <c r="M925" s="58"/>
      <c r="N925" s="58"/>
      <c r="O925" s="58"/>
      <c r="P925" s="58"/>
      <c r="Q925" s="58"/>
      <c r="R925" s="58"/>
      <c r="S925" s="58"/>
    </row>
    <row r="926" spans="2:19" x14ac:dyDescent="0.15">
      <c r="B926" s="58"/>
      <c r="C926" s="58"/>
      <c r="D926" s="58"/>
      <c r="E926" s="58"/>
      <c r="F926" s="58"/>
      <c r="G926" s="58"/>
      <c r="H926" s="58"/>
      <c r="I926" s="58"/>
      <c r="J926" s="58"/>
      <c r="K926" s="58"/>
      <c r="L926" s="58"/>
      <c r="M926" s="58"/>
      <c r="N926" s="58"/>
      <c r="O926" s="58"/>
      <c r="P926" s="58"/>
      <c r="Q926" s="58"/>
      <c r="R926" s="58"/>
      <c r="S926" s="58"/>
    </row>
    <row r="927" spans="2:19" x14ac:dyDescent="0.15">
      <c r="B927" s="58"/>
      <c r="C927" s="58"/>
      <c r="D927" s="58"/>
      <c r="E927" s="58"/>
      <c r="F927" s="58"/>
      <c r="G927" s="58"/>
      <c r="H927" s="58"/>
      <c r="I927" s="58"/>
      <c r="J927" s="58"/>
      <c r="K927" s="58"/>
      <c r="L927" s="58"/>
      <c r="M927" s="58"/>
      <c r="N927" s="58"/>
      <c r="O927" s="58"/>
      <c r="P927" s="58"/>
      <c r="Q927" s="58"/>
      <c r="R927" s="58"/>
      <c r="S927" s="58"/>
    </row>
    <row r="928" spans="2:19" x14ac:dyDescent="0.15">
      <c r="B928" s="58"/>
      <c r="C928" s="58"/>
      <c r="D928" s="58"/>
      <c r="E928" s="58"/>
      <c r="F928" s="58"/>
      <c r="G928" s="58"/>
      <c r="H928" s="58"/>
      <c r="I928" s="58"/>
      <c r="J928" s="58"/>
      <c r="K928" s="58"/>
      <c r="L928" s="58"/>
      <c r="M928" s="58"/>
      <c r="N928" s="58"/>
      <c r="O928" s="58"/>
      <c r="P928" s="58"/>
      <c r="Q928" s="58"/>
      <c r="R928" s="58"/>
      <c r="S928" s="58"/>
    </row>
    <row r="929" spans="2:19" x14ac:dyDescent="0.15">
      <c r="B929" s="58"/>
      <c r="C929" s="58"/>
      <c r="D929" s="58"/>
      <c r="E929" s="58"/>
      <c r="F929" s="58"/>
      <c r="G929" s="58"/>
      <c r="H929" s="58"/>
      <c r="I929" s="58"/>
      <c r="J929" s="58"/>
      <c r="K929" s="58"/>
      <c r="L929" s="58"/>
      <c r="M929" s="58"/>
      <c r="N929" s="58"/>
      <c r="O929" s="58"/>
      <c r="P929" s="58"/>
      <c r="Q929" s="58"/>
      <c r="R929" s="58"/>
      <c r="S929" s="58"/>
    </row>
    <row r="930" spans="2:19" x14ac:dyDescent="0.15">
      <c r="B930" s="58"/>
      <c r="C930" s="58"/>
      <c r="D930" s="58"/>
      <c r="E930" s="58"/>
      <c r="F930" s="58"/>
      <c r="G930" s="58"/>
      <c r="H930" s="58"/>
      <c r="I930" s="58"/>
      <c r="J930" s="58"/>
      <c r="K930" s="58"/>
      <c r="L930" s="58"/>
      <c r="M930" s="58"/>
      <c r="N930" s="58"/>
      <c r="O930" s="58"/>
      <c r="P930" s="58"/>
      <c r="Q930" s="58"/>
      <c r="R930" s="58"/>
      <c r="S930" s="58"/>
    </row>
    <row r="931" spans="2:19" x14ac:dyDescent="0.15">
      <c r="B931" s="58"/>
      <c r="C931" s="58"/>
      <c r="D931" s="58"/>
      <c r="E931" s="58"/>
      <c r="F931" s="58"/>
      <c r="G931" s="58"/>
      <c r="H931" s="58"/>
      <c r="I931" s="58"/>
      <c r="J931" s="58"/>
      <c r="K931" s="58"/>
      <c r="L931" s="58"/>
      <c r="M931" s="58"/>
      <c r="N931" s="58"/>
      <c r="O931" s="58"/>
      <c r="P931" s="58"/>
      <c r="Q931" s="58"/>
      <c r="R931" s="58"/>
      <c r="S931" s="58"/>
    </row>
    <row r="932" spans="2:19" x14ac:dyDescent="0.15">
      <c r="B932" s="58"/>
      <c r="C932" s="58"/>
      <c r="D932" s="58"/>
      <c r="E932" s="58"/>
      <c r="F932" s="58"/>
      <c r="G932" s="58"/>
      <c r="H932" s="58"/>
      <c r="I932" s="58"/>
      <c r="J932" s="58"/>
      <c r="K932" s="58"/>
      <c r="L932" s="58"/>
      <c r="M932" s="58"/>
      <c r="N932" s="58"/>
      <c r="O932" s="58"/>
      <c r="P932" s="58"/>
      <c r="Q932" s="58"/>
      <c r="R932" s="58"/>
      <c r="S932" s="58"/>
    </row>
    <row r="933" spans="2:19" x14ac:dyDescent="0.15">
      <c r="B933" s="58"/>
      <c r="C933" s="58"/>
      <c r="D933" s="58"/>
      <c r="E933" s="58"/>
      <c r="F933" s="58"/>
      <c r="G933" s="58"/>
      <c r="H933" s="58"/>
      <c r="I933" s="58"/>
      <c r="J933" s="58"/>
      <c r="K933" s="58"/>
      <c r="L933" s="58"/>
      <c r="M933" s="58"/>
      <c r="N933" s="58"/>
      <c r="O933" s="58"/>
      <c r="P933" s="58"/>
      <c r="Q933" s="58"/>
      <c r="R933" s="58"/>
      <c r="S933" s="58"/>
    </row>
    <row r="934" spans="2:19" x14ac:dyDescent="0.15">
      <c r="B934" s="58"/>
      <c r="C934" s="58"/>
      <c r="D934" s="58"/>
      <c r="E934" s="58"/>
      <c r="F934" s="58"/>
      <c r="G934" s="58"/>
      <c r="H934" s="58"/>
      <c r="I934" s="58"/>
      <c r="J934" s="58"/>
      <c r="K934" s="58"/>
      <c r="L934" s="58"/>
      <c r="M934" s="58"/>
      <c r="N934" s="58"/>
      <c r="O934" s="58"/>
      <c r="P934" s="58"/>
      <c r="Q934" s="58"/>
      <c r="R934" s="58"/>
      <c r="S934" s="58"/>
    </row>
    <row r="935" spans="2:19" x14ac:dyDescent="0.15">
      <c r="B935" s="58"/>
      <c r="C935" s="58"/>
      <c r="D935" s="58"/>
      <c r="E935" s="58"/>
      <c r="F935" s="58"/>
      <c r="G935" s="58"/>
      <c r="H935" s="58"/>
      <c r="I935" s="58"/>
      <c r="J935" s="58"/>
      <c r="K935" s="58"/>
      <c r="L935" s="58"/>
      <c r="M935" s="58"/>
      <c r="N935" s="58"/>
      <c r="O935" s="58"/>
      <c r="P935" s="58"/>
      <c r="Q935" s="58"/>
      <c r="R935" s="58"/>
      <c r="S935" s="58"/>
    </row>
    <row r="936" spans="2:19" x14ac:dyDescent="0.15">
      <c r="B936" s="58"/>
      <c r="C936" s="58"/>
      <c r="D936" s="58"/>
      <c r="E936" s="58"/>
      <c r="F936" s="58"/>
      <c r="G936" s="58"/>
      <c r="H936" s="58"/>
      <c r="I936" s="58"/>
      <c r="J936" s="58"/>
      <c r="K936" s="58"/>
      <c r="L936" s="58"/>
      <c r="M936" s="58"/>
      <c r="N936" s="58"/>
      <c r="O936" s="58"/>
      <c r="P936" s="58"/>
      <c r="Q936" s="58"/>
      <c r="R936" s="58"/>
      <c r="S936" s="58"/>
    </row>
    <row r="937" spans="2:19" x14ac:dyDescent="0.15">
      <c r="B937" s="58"/>
      <c r="C937" s="58"/>
      <c r="D937" s="58"/>
      <c r="E937" s="58"/>
      <c r="F937" s="58"/>
      <c r="G937" s="58"/>
      <c r="H937" s="58"/>
      <c r="I937" s="58"/>
      <c r="J937" s="58"/>
      <c r="K937" s="58"/>
      <c r="L937" s="58"/>
      <c r="M937" s="58"/>
      <c r="N937" s="58"/>
      <c r="O937" s="58"/>
      <c r="P937" s="58"/>
      <c r="Q937" s="58"/>
      <c r="R937" s="58"/>
      <c r="S937" s="58"/>
    </row>
    <row r="938" spans="2:19" x14ac:dyDescent="0.15">
      <c r="B938" s="58"/>
      <c r="C938" s="58"/>
      <c r="D938" s="58"/>
      <c r="E938" s="58"/>
      <c r="F938" s="58"/>
      <c r="G938" s="58"/>
      <c r="H938" s="58"/>
      <c r="I938" s="58"/>
      <c r="J938" s="58"/>
      <c r="K938" s="58"/>
      <c r="L938" s="58"/>
      <c r="M938" s="58"/>
      <c r="N938" s="58"/>
      <c r="O938" s="58"/>
      <c r="P938" s="58"/>
      <c r="Q938" s="58"/>
      <c r="R938" s="58"/>
      <c r="S938" s="58"/>
    </row>
    <row r="939" spans="2:19" x14ac:dyDescent="0.15">
      <c r="B939" s="58"/>
      <c r="C939" s="58"/>
      <c r="D939" s="58"/>
      <c r="E939" s="58"/>
      <c r="F939" s="58"/>
      <c r="G939" s="58"/>
      <c r="H939" s="58"/>
      <c r="I939" s="58"/>
      <c r="J939" s="58"/>
      <c r="K939" s="58"/>
      <c r="L939" s="58"/>
      <c r="M939" s="58"/>
      <c r="N939" s="58"/>
      <c r="O939" s="58"/>
      <c r="P939" s="58"/>
      <c r="Q939" s="58"/>
      <c r="R939" s="58"/>
      <c r="S939" s="58"/>
    </row>
    <row r="940" spans="2:19" x14ac:dyDescent="0.15">
      <c r="B940" s="58"/>
      <c r="C940" s="58"/>
      <c r="D940" s="58"/>
      <c r="E940" s="58"/>
      <c r="F940" s="58"/>
      <c r="G940" s="58"/>
      <c r="H940" s="58"/>
      <c r="I940" s="58"/>
      <c r="J940" s="58"/>
      <c r="K940" s="58"/>
      <c r="L940" s="58"/>
      <c r="M940" s="58"/>
      <c r="N940" s="58"/>
      <c r="O940" s="58"/>
      <c r="P940" s="58"/>
      <c r="Q940" s="58"/>
      <c r="R940" s="58"/>
      <c r="S940" s="58"/>
    </row>
    <row r="941" spans="2:19" x14ac:dyDescent="0.15">
      <c r="B941" s="58"/>
      <c r="C941" s="58"/>
      <c r="D941" s="58"/>
      <c r="E941" s="58"/>
      <c r="F941" s="58"/>
      <c r="G941" s="58"/>
      <c r="H941" s="58"/>
      <c r="I941" s="58"/>
      <c r="J941" s="58"/>
      <c r="K941" s="58"/>
      <c r="L941" s="58"/>
      <c r="M941" s="58"/>
      <c r="N941" s="58"/>
      <c r="O941" s="58"/>
      <c r="P941" s="58"/>
      <c r="Q941" s="58"/>
      <c r="R941" s="58"/>
      <c r="S941" s="58"/>
    </row>
    <row r="942" spans="2:19" x14ac:dyDescent="0.15">
      <c r="B942" s="58"/>
      <c r="C942" s="58"/>
      <c r="D942" s="58"/>
      <c r="E942" s="58"/>
      <c r="F942" s="58"/>
      <c r="G942" s="58"/>
      <c r="H942" s="58"/>
      <c r="I942" s="58"/>
      <c r="J942" s="58"/>
      <c r="K942" s="58"/>
      <c r="L942" s="58"/>
      <c r="M942" s="58"/>
      <c r="N942" s="58"/>
      <c r="O942" s="58"/>
      <c r="P942" s="58"/>
      <c r="Q942" s="58"/>
      <c r="R942" s="58"/>
      <c r="S942" s="58"/>
    </row>
    <row r="943" spans="2:19" x14ac:dyDescent="0.15">
      <c r="B943" s="58"/>
      <c r="C943" s="58"/>
      <c r="D943" s="58"/>
      <c r="E943" s="58"/>
      <c r="F943" s="58"/>
      <c r="G943" s="58"/>
      <c r="H943" s="58"/>
      <c r="I943" s="58"/>
      <c r="J943" s="58"/>
      <c r="K943" s="58"/>
      <c r="L943" s="58"/>
      <c r="M943" s="58"/>
      <c r="N943" s="58"/>
      <c r="O943" s="58"/>
      <c r="P943" s="58"/>
      <c r="Q943" s="58"/>
      <c r="R943" s="58"/>
      <c r="S943" s="58"/>
    </row>
    <row r="944" spans="2:19" x14ac:dyDescent="0.15">
      <c r="B944" s="58"/>
      <c r="C944" s="58"/>
      <c r="D944" s="58"/>
      <c r="E944" s="58"/>
      <c r="F944" s="58"/>
      <c r="G944" s="58"/>
      <c r="H944" s="58"/>
      <c r="I944" s="58"/>
      <c r="J944" s="58"/>
      <c r="K944" s="58"/>
      <c r="L944" s="58"/>
      <c r="M944" s="58"/>
      <c r="N944" s="58"/>
      <c r="O944" s="58"/>
      <c r="P944" s="58"/>
      <c r="Q944" s="58"/>
      <c r="R944" s="58"/>
      <c r="S944" s="58"/>
    </row>
    <row r="945" spans="2:19" x14ac:dyDescent="0.15">
      <c r="B945" s="58"/>
      <c r="C945" s="58"/>
      <c r="D945" s="58"/>
      <c r="E945" s="58"/>
      <c r="F945" s="58"/>
      <c r="G945" s="58"/>
      <c r="H945" s="58"/>
      <c r="I945" s="58"/>
      <c r="J945" s="58"/>
      <c r="K945" s="58"/>
      <c r="L945" s="58"/>
      <c r="M945" s="58"/>
      <c r="N945" s="58"/>
      <c r="O945" s="58"/>
      <c r="P945" s="58"/>
      <c r="Q945" s="58"/>
      <c r="R945" s="58"/>
      <c r="S945" s="58"/>
    </row>
    <row r="946" spans="2:19" x14ac:dyDescent="0.15">
      <c r="B946" s="58"/>
      <c r="C946" s="58"/>
      <c r="D946" s="58"/>
      <c r="E946" s="58"/>
      <c r="F946" s="58"/>
      <c r="G946" s="58"/>
      <c r="H946" s="58"/>
      <c r="I946" s="58"/>
      <c r="J946" s="58"/>
      <c r="K946" s="58"/>
      <c r="L946" s="58"/>
      <c r="M946" s="58"/>
      <c r="N946" s="58"/>
      <c r="O946" s="58"/>
      <c r="P946" s="58"/>
      <c r="Q946" s="58"/>
      <c r="R946" s="58"/>
      <c r="S946" s="58"/>
    </row>
    <row r="947" spans="2:19" x14ac:dyDescent="0.15">
      <c r="B947" s="58"/>
      <c r="C947" s="58"/>
      <c r="D947" s="58"/>
      <c r="E947" s="58"/>
      <c r="F947" s="58"/>
      <c r="G947" s="58"/>
      <c r="H947" s="58"/>
      <c r="I947" s="58"/>
      <c r="J947" s="58"/>
      <c r="K947" s="58"/>
      <c r="L947" s="58"/>
      <c r="M947" s="58"/>
      <c r="N947" s="58"/>
      <c r="O947" s="58"/>
      <c r="P947" s="58"/>
      <c r="Q947" s="58"/>
      <c r="R947" s="58"/>
      <c r="S947" s="58"/>
    </row>
    <row r="948" spans="2:19" x14ac:dyDescent="0.15">
      <c r="B948" s="58"/>
      <c r="C948" s="58"/>
      <c r="D948" s="58"/>
      <c r="E948" s="58"/>
      <c r="F948" s="58"/>
      <c r="G948" s="58"/>
      <c r="H948" s="58"/>
      <c r="I948" s="58"/>
      <c r="J948" s="58"/>
      <c r="K948" s="58"/>
      <c r="L948" s="58"/>
      <c r="M948" s="58"/>
      <c r="N948" s="58"/>
      <c r="O948" s="58"/>
      <c r="P948" s="58"/>
      <c r="Q948" s="58"/>
      <c r="R948" s="58"/>
      <c r="S948" s="58"/>
    </row>
    <row r="949" spans="2:19" x14ac:dyDescent="0.15">
      <c r="B949" s="58"/>
      <c r="C949" s="58"/>
      <c r="D949" s="58"/>
      <c r="E949" s="58"/>
      <c r="F949" s="58"/>
      <c r="G949" s="58"/>
      <c r="H949" s="58"/>
      <c r="I949" s="58"/>
      <c r="J949" s="58"/>
      <c r="K949" s="58"/>
      <c r="L949" s="58"/>
      <c r="M949" s="58"/>
      <c r="N949" s="58"/>
      <c r="O949" s="58"/>
      <c r="P949" s="58"/>
      <c r="Q949" s="58"/>
      <c r="R949" s="58"/>
      <c r="S949" s="58"/>
    </row>
    <row r="950" spans="2:19" x14ac:dyDescent="0.15">
      <c r="B950" s="58"/>
      <c r="C950" s="58"/>
      <c r="D950" s="58"/>
      <c r="E950" s="58"/>
      <c r="F950" s="58"/>
      <c r="G950" s="58"/>
      <c r="H950" s="58"/>
      <c r="I950" s="58"/>
      <c r="J950" s="58"/>
      <c r="K950" s="58"/>
      <c r="L950" s="58"/>
      <c r="M950" s="58"/>
      <c r="N950" s="58"/>
      <c r="O950" s="58"/>
      <c r="P950" s="58"/>
      <c r="Q950" s="58"/>
      <c r="R950" s="58"/>
      <c r="S950" s="58"/>
    </row>
    <row r="951" spans="2:19" x14ac:dyDescent="0.15">
      <c r="B951" s="58"/>
      <c r="C951" s="58"/>
      <c r="D951" s="58"/>
      <c r="E951" s="58"/>
      <c r="F951" s="58"/>
      <c r="G951" s="58"/>
      <c r="H951" s="58"/>
      <c r="I951" s="58"/>
      <c r="J951" s="58"/>
      <c r="K951" s="58"/>
      <c r="L951" s="58"/>
      <c r="M951" s="58"/>
      <c r="N951" s="58"/>
      <c r="O951" s="58"/>
      <c r="P951" s="58"/>
      <c r="Q951" s="58"/>
      <c r="R951" s="58"/>
      <c r="S951" s="58"/>
    </row>
    <row r="952" spans="2:19" x14ac:dyDescent="0.15">
      <c r="B952" s="58"/>
      <c r="C952" s="58"/>
      <c r="D952" s="58"/>
      <c r="E952" s="58"/>
      <c r="F952" s="58"/>
      <c r="G952" s="58"/>
      <c r="H952" s="58"/>
      <c r="I952" s="58"/>
      <c r="J952" s="58"/>
      <c r="K952" s="58"/>
      <c r="L952" s="58"/>
      <c r="M952" s="58"/>
      <c r="N952" s="58"/>
      <c r="O952" s="58"/>
      <c r="P952" s="58"/>
      <c r="Q952" s="58"/>
      <c r="R952" s="58"/>
      <c r="S952" s="58"/>
    </row>
    <row r="953" spans="2:19" x14ac:dyDescent="0.15">
      <c r="B953" s="58"/>
      <c r="C953" s="58"/>
      <c r="D953" s="58"/>
      <c r="E953" s="58"/>
      <c r="F953" s="58"/>
      <c r="G953" s="58"/>
      <c r="H953" s="58"/>
      <c r="I953" s="58"/>
      <c r="J953" s="58"/>
      <c r="K953" s="58"/>
      <c r="L953" s="58"/>
      <c r="M953" s="58"/>
      <c r="N953" s="58"/>
      <c r="O953" s="58"/>
      <c r="P953" s="58"/>
      <c r="Q953" s="58"/>
      <c r="R953" s="58"/>
      <c r="S953" s="58"/>
    </row>
    <row r="954" spans="2:19" x14ac:dyDescent="0.15">
      <c r="B954" s="58"/>
      <c r="C954" s="58"/>
      <c r="D954" s="58"/>
      <c r="E954" s="58"/>
      <c r="F954" s="58"/>
      <c r="G954" s="58"/>
      <c r="H954" s="58"/>
      <c r="I954" s="58"/>
      <c r="J954" s="58"/>
      <c r="K954" s="58"/>
      <c r="L954" s="58"/>
      <c r="M954" s="58"/>
      <c r="N954" s="58"/>
      <c r="O954" s="58"/>
      <c r="P954" s="58"/>
      <c r="Q954" s="58"/>
      <c r="R954" s="58"/>
      <c r="S954" s="58"/>
    </row>
    <row r="955" spans="2:19" x14ac:dyDescent="0.15">
      <c r="B955" s="58"/>
      <c r="C955" s="58"/>
      <c r="D955" s="58"/>
      <c r="E955" s="58"/>
      <c r="F955" s="58"/>
      <c r="G955" s="58"/>
      <c r="H955" s="58"/>
      <c r="I955" s="58"/>
      <c r="J955" s="58"/>
      <c r="K955" s="58"/>
      <c r="L955" s="58"/>
      <c r="M955" s="58"/>
      <c r="N955" s="58"/>
      <c r="O955" s="58"/>
      <c r="P955" s="58"/>
      <c r="Q955" s="58"/>
      <c r="R955" s="58"/>
      <c r="S955" s="58"/>
    </row>
    <row r="956" spans="2:19" x14ac:dyDescent="0.15">
      <c r="B956" s="58"/>
      <c r="C956" s="58"/>
      <c r="D956" s="58"/>
      <c r="E956" s="58"/>
      <c r="F956" s="58"/>
      <c r="G956" s="58"/>
      <c r="H956" s="58"/>
      <c r="I956" s="58"/>
      <c r="J956" s="58"/>
      <c r="K956" s="58"/>
      <c r="L956" s="58"/>
      <c r="M956" s="58"/>
      <c r="N956" s="58"/>
      <c r="O956" s="58"/>
      <c r="P956" s="58"/>
      <c r="Q956" s="58"/>
      <c r="R956" s="58"/>
      <c r="S956" s="58"/>
    </row>
    <row r="957" spans="2:19" x14ac:dyDescent="0.15">
      <c r="B957" s="58"/>
      <c r="C957" s="58"/>
      <c r="D957" s="58"/>
      <c r="E957" s="58"/>
      <c r="F957" s="58"/>
      <c r="G957" s="58"/>
      <c r="H957" s="58"/>
      <c r="I957" s="58"/>
      <c r="J957" s="58"/>
      <c r="K957" s="58"/>
      <c r="L957" s="58"/>
      <c r="M957" s="58"/>
      <c r="N957" s="58"/>
      <c r="O957" s="58"/>
      <c r="P957" s="58"/>
      <c r="Q957" s="58"/>
      <c r="R957" s="58"/>
      <c r="S957" s="58"/>
    </row>
    <row r="958" spans="2:19" x14ac:dyDescent="0.15">
      <c r="B958" s="58"/>
      <c r="C958" s="58"/>
      <c r="D958" s="58"/>
      <c r="E958" s="58"/>
      <c r="F958" s="58"/>
      <c r="G958" s="58"/>
      <c r="H958" s="58"/>
      <c r="I958" s="58"/>
      <c r="J958" s="58"/>
      <c r="K958" s="58"/>
      <c r="L958" s="58"/>
      <c r="M958" s="58"/>
      <c r="N958" s="58"/>
      <c r="O958" s="58"/>
      <c r="P958" s="58"/>
      <c r="Q958" s="58"/>
      <c r="R958" s="58"/>
      <c r="S958" s="58"/>
    </row>
    <row r="959" spans="2:19" x14ac:dyDescent="0.15">
      <c r="B959" s="58"/>
      <c r="C959" s="58"/>
      <c r="D959" s="58"/>
      <c r="E959" s="58"/>
      <c r="F959" s="58"/>
      <c r="G959" s="58"/>
      <c r="H959" s="58"/>
      <c r="I959" s="58"/>
      <c r="J959" s="58"/>
      <c r="K959" s="58"/>
      <c r="L959" s="58"/>
      <c r="M959" s="58"/>
      <c r="N959" s="58"/>
      <c r="O959" s="58"/>
      <c r="P959" s="58"/>
      <c r="Q959" s="58"/>
      <c r="R959" s="58"/>
      <c r="S959" s="58"/>
    </row>
    <row r="960" spans="2:19" x14ac:dyDescent="0.15">
      <c r="B960" s="58"/>
      <c r="C960" s="58"/>
      <c r="D960" s="58"/>
      <c r="E960" s="58"/>
      <c r="F960" s="58"/>
      <c r="G960" s="58"/>
      <c r="H960" s="58"/>
      <c r="I960" s="58"/>
      <c r="J960" s="58"/>
      <c r="K960" s="58"/>
      <c r="L960" s="58"/>
      <c r="M960" s="58"/>
      <c r="N960" s="58"/>
      <c r="O960" s="58"/>
      <c r="P960" s="58"/>
      <c r="Q960" s="58"/>
      <c r="R960" s="58"/>
      <c r="S960" s="58"/>
    </row>
    <row r="961" spans="2:19" x14ac:dyDescent="0.15">
      <c r="B961" s="58"/>
      <c r="C961" s="58"/>
      <c r="D961" s="58"/>
      <c r="E961" s="58"/>
      <c r="F961" s="58"/>
      <c r="G961" s="58"/>
      <c r="H961" s="58"/>
      <c r="I961" s="58"/>
      <c r="J961" s="58"/>
      <c r="K961" s="58"/>
      <c r="L961" s="58"/>
      <c r="M961" s="58"/>
      <c r="N961" s="58"/>
      <c r="O961" s="58"/>
      <c r="P961" s="58"/>
      <c r="Q961" s="58"/>
      <c r="R961" s="58"/>
      <c r="S961" s="58"/>
    </row>
    <row r="962" spans="2:19" x14ac:dyDescent="0.15">
      <c r="B962" s="58"/>
      <c r="C962" s="58"/>
      <c r="D962" s="58"/>
      <c r="E962" s="58"/>
      <c r="F962" s="58"/>
      <c r="G962" s="58"/>
      <c r="H962" s="58"/>
      <c r="I962" s="58"/>
      <c r="J962" s="58"/>
      <c r="K962" s="58"/>
      <c r="L962" s="58"/>
      <c r="M962" s="58"/>
      <c r="N962" s="58"/>
      <c r="O962" s="58"/>
      <c r="P962" s="58"/>
      <c r="Q962" s="58"/>
      <c r="R962" s="58"/>
      <c r="S962" s="58"/>
    </row>
    <row r="963" spans="2:19" x14ac:dyDescent="0.15">
      <c r="B963" s="58"/>
      <c r="C963" s="58"/>
      <c r="D963" s="58"/>
      <c r="E963" s="58"/>
      <c r="F963" s="58"/>
      <c r="G963" s="58"/>
      <c r="H963" s="58"/>
      <c r="I963" s="58"/>
      <c r="J963" s="58"/>
      <c r="K963" s="58"/>
      <c r="L963" s="58"/>
      <c r="M963" s="58"/>
      <c r="N963" s="58"/>
      <c r="O963" s="58"/>
      <c r="P963" s="58"/>
      <c r="Q963" s="58"/>
      <c r="R963" s="58"/>
      <c r="S963" s="58"/>
    </row>
    <row r="964" spans="2:19" x14ac:dyDescent="0.15">
      <c r="B964" s="58"/>
      <c r="C964" s="58"/>
      <c r="D964" s="58"/>
      <c r="E964" s="58"/>
      <c r="F964" s="58"/>
      <c r="G964" s="58"/>
      <c r="H964" s="58"/>
      <c r="I964" s="58"/>
      <c r="J964" s="58"/>
      <c r="K964" s="58"/>
      <c r="L964" s="58"/>
      <c r="M964" s="58"/>
      <c r="N964" s="58"/>
      <c r="O964" s="58"/>
      <c r="P964" s="58"/>
      <c r="Q964" s="58"/>
      <c r="R964" s="58"/>
      <c r="S964" s="58"/>
    </row>
    <row r="965" spans="2:19" x14ac:dyDescent="0.15">
      <c r="B965" s="58"/>
      <c r="C965" s="58"/>
      <c r="D965" s="58"/>
      <c r="E965" s="58"/>
      <c r="F965" s="58"/>
      <c r="G965" s="58"/>
      <c r="H965" s="58"/>
      <c r="I965" s="58"/>
      <c r="J965" s="58"/>
      <c r="K965" s="58"/>
      <c r="L965" s="58"/>
      <c r="M965" s="58"/>
      <c r="N965" s="58"/>
      <c r="O965" s="58"/>
      <c r="P965" s="58"/>
      <c r="Q965" s="58"/>
      <c r="R965" s="58"/>
      <c r="S965" s="58"/>
    </row>
    <row r="966" spans="2:19" x14ac:dyDescent="0.15">
      <c r="B966" s="58"/>
      <c r="C966" s="58"/>
      <c r="D966" s="58"/>
      <c r="E966" s="58"/>
      <c r="F966" s="58"/>
      <c r="G966" s="58"/>
      <c r="H966" s="58"/>
      <c r="I966" s="58"/>
      <c r="J966" s="58"/>
      <c r="K966" s="58"/>
      <c r="L966" s="58"/>
      <c r="M966" s="58"/>
      <c r="N966" s="58"/>
      <c r="O966" s="58"/>
      <c r="P966" s="58"/>
      <c r="Q966" s="58"/>
      <c r="R966" s="58"/>
      <c r="S966" s="58"/>
    </row>
    <row r="967" spans="2:19" x14ac:dyDescent="0.15">
      <c r="B967" s="58"/>
      <c r="C967" s="58"/>
      <c r="D967" s="58"/>
      <c r="E967" s="58"/>
      <c r="F967" s="58"/>
      <c r="G967" s="58"/>
      <c r="H967" s="58"/>
      <c r="I967" s="58"/>
      <c r="J967" s="58"/>
      <c r="K967" s="58"/>
      <c r="L967" s="58"/>
      <c r="M967" s="58"/>
      <c r="N967" s="58"/>
      <c r="O967" s="58"/>
      <c r="P967" s="58"/>
      <c r="Q967" s="58"/>
      <c r="R967" s="58"/>
      <c r="S967" s="58"/>
    </row>
    <row r="968" spans="2:19" x14ac:dyDescent="0.15">
      <c r="B968" s="58"/>
      <c r="C968" s="58"/>
      <c r="D968" s="58"/>
      <c r="E968" s="58"/>
      <c r="F968" s="58"/>
      <c r="G968" s="58"/>
      <c r="H968" s="58"/>
      <c r="I968" s="58"/>
      <c r="J968" s="58"/>
      <c r="K968" s="58"/>
      <c r="L968" s="58"/>
      <c r="M968" s="58"/>
      <c r="N968" s="58"/>
      <c r="O968" s="58"/>
      <c r="P968" s="58"/>
      <c r="Q968" s="58"/>
      <c r="R968" s="58"/>
      <c r="S968" s="58"/>
    </row>
    <row r="969" spans="2:19" x14ac:dyDescent="0.15">
      <c r="B969" s="58"/>
      <c r="C969" s="58"/>
      <c r="D969" s="58"/>
      <c r="E969" s="58"/>
      <c r="F969" s="58"/>
      <c r="G969" s="58"/>
      <c r="H969" s="58"/>
      <c r="I969" s="58"/>
      <c r="J969" s="58"/>
      <c r="K969" s="58"/>
      <c r="L969" s="58"/>
      <c r="M969" s="58"/>
      <c r="N969" s="58"/>
      <c r="O969" s="58"/>
      <c r="P969" s="58"/>
      <c r="Q969" s="58"/>
      <c r="R969" s="58"/>
      <c r="S969" s="58"/>
    </row>
    <row r="970" spans="2:19" x14ac:dyDescent="0.15">
      <c r="B970" s="58"/>
      <c r="C970" s="58"/>
      <c r="D970" s="58"/>
      <c r="E970" s="58"/>
      <c r="F970" s="58"/>
      <c r="G970" s="58"/>
      <c r="H970" s="58"/>
      <c r="I970" s="58"/>
      <c r="J970" s="58"/>
      <c r="K970" s="58"/>
      <c r="L970" s="58"/>
      <c r="M970" s="58"/>
      <c r="N970" s="58"/>
      <c r="O970" s="58"/>
      <c r="P970" s="58"/>
      <c r="Q970" s="58"/>
      <c r="R970" s="58"/>
      <c r="S970" s="58"/>
    </row>
    <row r="971" spans="2:19" x14ac:dyDescent="0.15">
      <c r="B971" s="58"/>
      <c r="C971" s="58"/>
      <c r="D971" s="58"/>
      <c r="E971" s="58"/>
      <c r="F971" s="58"/>
      <c r="G971" s="58"/>
      <c r="H971" s="58"/>
      <c r="I971" s="58"/>
      <c r="J971" s="58"/>
      <c r="K971" s="58"/>
      <c r="L971" s="58"/>
      <c r="M971" s="58"/>
      <c r="N971" s="58"/>
      <c r="O971" s="58"/>
      <c r="P971" s="58"/>
      <c r="Q971" s="58"/>
      <c r="R971" s="58"/>
      <c r="S971" s="58"/>
    </row>
    <row r="972" spans="2:19" x14ac:dyDescent="0.15">
      <c r="B972" s="58"/>
      <c r="C972" s="58"/>
      <c r="D972" s="58"/>
      <c r="E972" s="58"/>
      <c r="F972" s="58"/>
      <c r="G972" s="58"/>
      <c r="H972" s="58"/>
      <c r="I972" s="58"/>
      <c r="J972" s="58"/>
      <c r="K972" s="58"/>
      <c r="L972" s="58"/>
      <c r="M972" s="58"/>
      <c r="N972" s="58"/>
      <c r="O972" s="58"/>
      <c r="P972" s="58"/>
      <c r="Q972" s="58"/>
      <c r="R972" s="58"/>
      <c r="S972" s="58"/>
    </row>
    <row r="973" spans="2:19" x14ac:dyDescent="0.15">
      <c r="B973" s="58"/>
      <c r="C973" s="58"/>
      <c r="D973" s="58"/>
      <c r="E973" s="58"/>
      <c r="F973" s="58"/>
      <c r="G973" s="58"/>
      <c r="H973" s="58"/>
      <c r="I973" s="58"/>
      <c r="J973" s="58"/>
      <c r="K973" s="58"/>
      <c r="L973" s="58"/>
      <c r="M973" s="58"/>
      <c r="N973" s="58"/>
      <c r="O973" s="58"/>
      <c r="P973" s="58"/>
      <c r="Q973" s="58"/>
      <c r="R973" s="58"/>
      <c r="S973" s="58"/>
    </row>
    <row r="974" spans="2:19" x14ac:dyDescent="0.15">
      <c r="B974" s="58"/>
      <c r="C974" s="58"/>
      <c r="D974" s="58"/>
      <c r="E974" s="58"/>
      <c r="F974" s="58"/>
      <c r="G974" s="58"/>
      <c r="H974" s="58"/>
      <c r="I974" s="58"/>
      <c r="J974" s="58"/>
      <c r="K974" s="58"/>
      <c r="L974" s="58"/>
      <c r="M974" s="58"/>
      <c r="N974" s="58"/>
      <c r="O974" s="58"/>
      <c r="P974" s="58"/>
      <c r="Q974" s="58"/>
      <c r="R974" s="58"/>
      <c r="S974" s="58"/>
    </row>
    <row r="975" spans="2:19" x14ac:dyDescent="0.15">
      <c r="B975" s="58"/>
      <c r="C975" s="58"/>
      <c r="D975" s="58"/>
      <c r="E975" s="58"/>
      <c r="F975" s="58"/>
      <c r="G975" s="58"/>
      <c r="H975" s="58"/>
      <c r="I975" s="58"/>
      <c r="J975" s="58"/>
      <c r="K975" s="58"/>
      <c r="L975" s="58"/>
      <c r="M975" s="58"/>
      <c r="N975" s="58"/>
      <c r="O975" s="58"/>
      <c r="P975" s="58"/>
      <c r="Q975" s="58"/>
      <c r="R975" s="58"/>
      <c r="S975" s="58"/>
    </row>
    <row r="976" spans="2:19" x14ac:dyDescent="0.15">
      <c r="B976" s="58"/>
      <c r="C976" s="58"/>
      <c r="D976" s="58"/>
      <c r="E976" s="58"/>
      <c r="F976" s="58"/>
      <c r="G976" s="58"/>
      <c r="H976" s="58"/>
      <c r="I976" s="58"/>
      <c r="J976" s="58"/>
      <c r="K976" s="58"/>
      <c r="L976" s="58"/>
      <c r="M976" s="58"/>
      <c r="N976" s="58"/>
      <c r="O976" s="58"/>
      <c r="P976" s="58"/>
      <c r="Q976" s="58"/>
      <c r="R976" s="58"/>
      <c r="S976" s="58"/>
    </row>
    <row r="977" spans="2:19" x14ac:dyDescent="0.15">
      <c r="B977" s="58"/>
      <c r="C977" s="58"/>
      <c r="D977" s="58"/>
      <c r="E977" s="58"/>
      <c r="F977" s="58"/>
      <c r="G977" s="58"/>
      <c r="H977" s="58"/>
      <c r="I977" s="58"/>
      <c r="J977" s="58"/>
      <c r="K977" s="58"/>
      <c r="L977" s="58"/>
      <c r="M977" s="58"/>
      <c r="N977" s="58"/>
      <c r="O977" s="58"/>
      <c r="P977" s="58"/>
      <c r="Q977" s="58"/>
      <c r="R977" s="58"/>
      <c r="S977" s="58"/>
    </row>
    <row r="978" spans="2:19" x14ac:dyDescent="0.15">
      <c r="B978" s="58"/>
      <c r="C978" s="58"/>
      <c r="D978" s="58"/>
      <c r="E978" s="58"/>
      <c r="F978" s="58"/>
      <c r="G978" s="58"/>
      <c r="H978" s="58"/>
      <c r="I978" s="58"/>
      <c r="J978" s="58"/>
      <c r="K978" s="58"/>
      <c r="L978" s="58"/>
      <c r="M978" s="58"/>
      <c r="N978" s="58"/>
      <c r="O978" s="58"/>
      <c r="P978" s="58"/>
      <c r="Q978" s="58"/>
      <c r="R978" s="58"/>
      <c r="S978" s="58"/>
    </row>
    <row r="979" spans="2:19" x14ac:dyDescent="0.15">
      <c r="B979" s="58"/>
      <c r="C979" s="58"/>
      <c r="D979" s="58"/>
      <c r="E979" s="58"/>
      <c r="F979" s="58"/>
      <c r="G979" s="58"/>
      <c r="H979" s="58"/>
      <c r="I979" s="58"/>
      <c r="J979" s="58"/>
      <c r="K979" s="58"/>
      <c r="L979" s="58"/>
      <c r="M979" s="58"/>
      <c r="N979" s="58"/>
      <c r="O979" s="58"/>
      <c r="P979" s="58"/>
      <c r="Q979" s="58"/>
      <c r="R979" s="58"/>
      <c r="S979" s="58"/>
    </row>
    <row r="980" spans="2:19" x14ac:dyDescent="0.15">
      <c r="B980" s="58"/>
      <c r="C980" s="58"/>
      <c r="D980" s="58"/>
      <c r="E980" s="58"/>
      <c r="F980" s="58"/>
      <c r="G980" s="58"/>
      <c r="H980" s="58"/>
      <c r="I980" s="58"/>
      <c r="J980" s="58"/>
      <c r="K980" s="58"/>
      <c r="L980" s="58"/>
      <c r="M980" s="58"/>
      <c r="N980" s="58"/>
      <c r="O980" s="58"/>
      <c r="P980" s="58"/>
      <c r="Q980" s="58"/>
      <c r="R980" s="58"/>
      <c r="S980" s="58"/>
    </row>
    <row r="981" spans="2:19" x14ac:dyDescent="0.15">
      <c r="B981" s="58"/>
      <c r="C981" s="58"/>
      <c r="D981" s="58"/>
      <c r="E981" s="58"/>
      <c r="F981" s="58"/>
      <c r="G981" s="58"/>
      <c r="H981" s="58"/>
      <c r="I981" s="58"/>
      <c r="J981" s="58"/>
      <c r="K981" s="58"/>
      <c r="L981" s="58"/>
      <c r="M981" s="58"/>
      <c r="N981" s="58"/>
      <c r="O981" s="58"/>
      <c r="P981" s="58"/>
      <c r="Q981" s="58"/>
      <c r="R981" s="58"/>
      <c r="S981" s="58"/>
    </row>
    <row r="982" spans="2:19" x14ac:dyDescent="0.15">
      <c r="B982" s="58"/>
      <c r="C982" s="58"/>
      <c r="D982" s="58"/>
      <c r="E982" s="58"/>
      <c r="F982" s="58"/>
      <c r="G982" s="58"/>
      <c r="H982" s="58"/>
      <c r="I982" s="58"/>
      <c r="J982" s="58"/>
      <c r="K982" s="58"/>
      <c r="L982" s="58"/>
      <c r="M982" s="58"/>
      <c r="N982" s="58"/>
      <c r="O982" s="58"/>
      <c r="P982" s="58"/>
      <c r="Q982" s="58"/>
      <c r="R982" s="58"/>
      <c r="S982" s="58"/>
    </row>
    <row r="983" spans="2:19" x14ac:dyDescent="0.15">
      <c r="B983" s="58"/>
      <c r="C983" s="58"/>
      <c r="D983" s="58"/>
      <c r="E983" s="58"/>
      <c r="F983" s="58"/>
      <c r="G983" s="58"/>
      <c r="H983" s="58"/>
      <c r="I983" s="58"/>
      <c r="J983" s="58"/>
      <c r="K983" s="58"/>
      <c r="L983" s="58"/>
      <c r="M983" s="58"/>
      <c r="N983" s="58"/>
      <c r="O983" s="58"/>
      <c r="P983" s="58"/>
      <c r="Q983" s="58"/>
      <c r="R983" s="58"/>
      <c r="S983" s="58"/>
    </row>
    <row r="984" spans="2:19" x14ac:dyDescent="0.15">
      <c r="B984" s="58"/>
      <c r="C984" s="58"/>
      <c r="D984" s="58"/>
      <c r="E984" s="58"/>
      <c r="F984" s="58"/>
      <c r="G984" s="58"/>
      <c r="H984" s="58"/>
      <c r="I984" s="58"/>
      <c r="J984" s="58"/>
      <c r="K984" s="58"/>
      <c r="L984" s="58"/>
      <c r="M984" s="58"/>
      <c r="N984" s="58"/>
      <c r="O984" s="58"/>
      <c r="P984" s="58"/>
      <c r="Q984" s="58"/>
      <c r="R984" s="58"/>
      <c r="S984" s="58"/>
    </row>
    <row r="985" spans="2:19" x14ac:dyDescent="0.15">
      <c r="B985" s="58"/>
      <c r="C985" s="58"/>
      <c r="D985" s="58"/>
      <c r="E985" s="58"/>
      <c r="F985" s="58"/>
      <c r="G985" s="58"/>
      <c r="H985" s="58"/>
      <c r="I985" s="58"/>
      <c r="J985" s="58"/>
      <c r="K985" s="58"/>
      <c r="L985" s="58"/>
      <c r="M985" s="58"/>
      <c r="N985" s="58"/>
      <c r="O985" s="58"/>
      <c r="P985" s="58"/>
      <c r="Q985" s="58"/>
      <c r="R985" s="58"/>
      <c r="S985" s="58"/>
    </row>
    <row r="986" spans="2:19" x14ac:dyDescent="0.15">
      <c r="B986" s="58"/>
      <c r="C986" s="58"/>
      <c r="D986" s="58"/>
      <c r="E986" s="58"/>
      <c r="F986" s="58"/>
      <c r="G986" s="58"/>
      <c r="H986" s="58"/>
      <c r="I986" s="58"/>
      <c r="J986" s="58"/>
      <c r="K986" s="58"/>
      <c r="L986" s="58"/>
      <c r="M986" s="58"/>
      <c r="N986" s="58"/>
      <c r="O986" s="58"/>
      <c r="P986" s="58"/>
      <c r="Q986" s="58"/>
      <c r="R986" s="58"/>
      <c r="S986" s="58"/>
    </row>
    <row r="987" spans="2:19" x14ac:dyDescent="0.15">
      <c r="B987" s="58"/>
      <c r="C987" s="58"/>
      <c r="D987" s="58"/>
      <c r="E987" s="58"/>
      <c r="F987" s="58"/>
      <c r="G987" s="58"/>
      <c r="H987" s="58"/>
      <c r="I987" s="58"/>
      <c r="J987" s="58"/>
      <c r="K987" s="58"/>
      <c r="L987" s="58"/>
      <c r="M987" s="58"/>
      <c r="N987" s="58"/>
      <c r="O987" s="58"/>
      <c r="P987" s="58"/>
      <c r="Q987" s="58"/>
      <c r="R987" s="58"/>
      <c r="S987" s="58"/>
    </row>
    <row r="988" spans="2:19" x14ac:dyDescent="0.15">
      <c r="B988" s="58"/>
      <c r="C988" s="58"/>
      <c r="D988" s="58"/>
      <c r="E988" s="58"/>
      <c r="F988" s="58"/>
      <c r="G988" s="58"/>
      <c r="H988" s="58"/>
      <c r="I988" s="58"/>
      <c r="J988" s="58"/>
      <c r="K988" s="58"/>
      <c r="L988" s="58"/>
      <c r="M988" s="58"/>
      <c r="N988" s="58"/>
      <c r="O988" s="58"/>
      <c r="P988" s="58"/>
      <c r="Q988" s="58"/>
      <c r="R988" s="58"/>
      <c r="S988" s="58"/>
    </row>
    <row r="989" spans="2:19" x14ac:dyDescent="0.15">
      <c r="B989" s="58"/>
      <c r="C989" s="58"/>
      <c r="D989" s="58"/>
      <c r="E989" s="58"/>
      <c r="F989" s="58"/>
      <c r="G989" s="58"/>
      <c r="H989" s="58"/>
      <c r="I989" s="58"/>
      <c r="J989" s="58"/>
      <c r="K989" s="58"/>
      <c r="L989" s="58"/>
      <c r="M989" s="58"/>
      <c r="N989" s="58"/>
      <c r="O989" s="58"/>
      <c r="P989" s="58"/>
      <c r="Q989" s="58"/>
      <c r="R989" s="58"/>
      <c r="S989" s="58"/>
    </row>
    <row r="990" spans="2:19" x14ac:dyDescent="0.15">
      <c r="B990" s="58"/>
      <c r="C990" s="58"/>
      <c r="D990" s="58"/>
      <c r="E990" s="58"/>
      <c r="F990" s="58"/>
      <c r="G990" s="58"/>
      <c r="H990" s="58"/>
      <c r="I990" s="58"/>
      <c r="J990" s="58"/>
      <c r="K990" s="58"/>
      <c r="L990" s="58"/>
      <c r="M990" s="58"/>
      <c r="N990" s="58"/>
      <c r="O990" s="58"/>
      <c r="P990" s="58"/>
      <c r="Q990" s="58"/>
      <c r="R990" s="58"/>
      <c r="S990" s="58"/>
    </row>
    <row r="991" spans="2:19" x14ac:dyDescent="0.15">
      <c r="B991" s="58"/>
      <c r="C991" s="58"/>
      <c r="D991" s="58"/>
      <c r="E991" s="58"/>
      <c r="F991" s="58"/>
      <c r="G991" s="58"/>
      <c r="H991" s="58"/>
      <c r="I991" s="58"/>
      <c r="J991" s="58"/>
      <c r="K991" s="58"/>
      <c r="L991" s="58"/>
      <c r="M991" s="58"/>
      <c r="N991" s="58"/>
      <c r="O991" s="58"/>
      <c r="P991" s="58"/>
      <c r="Q991" s="58"/>
      <c r="R991" s="58"/>
      <c r="S991" s="58"/>
    </row>
    <row r="992" spans="2:19" x14ac:dyDescent="0.15">
      <c r="B992" s="58"/>
      <c r="C992" s="58"/>
      <c r="D992" s="58"/>
      <c r="E992" s="58"/>
      <c r="F992" s="58"/>
      <c r="G992" s="58"/>
      <c r="H992" s="58"/>
      <c r="I992" s="58"/>
      <c r="J992" s="58"/>
      <c r="K992" s="58"/>
      <c r="L992" s="58"/>
      <c r="M992" s="58"/>
      <c r="N992" s="58"/>
      <c r="O992" s="58"/>
      <c r="P992" s="58"/>
      <c r="Q992" s="58"/>
      <c r="R992" s="58"/>
      <c r="S992" s="58"/>
    </row>
    <row r="993" spans="2:19" x14ac:dyDescent="0.15">
      <c r="B993" s="58"/>
      <c r="C993" s="58"/>
      <c r="D993" s="58"/>
      <c r="E993" s="58"/>
      <c r="F993" s="58"/>
      <c r="G993" s="58"/>
      <c r="H993" s="58"/>
      <c r="I993" s="58"/>
      <c r="J993" s="58"/>
      <c r="K993" s="58"/>
      <c r="L993" s="58"/>
      <c r="M993" s="58"/>
      <c r="N993" s="58"/>
      <c r="O993" s="58"/>
      <c r="P993" s="58"/>
      <c r="Q993" s="58"/>
      <c r="R993" s="58"/>
      <c r="S993" s="58"/>
    </row>
    <row r="994" spans="2:19" x14ac:dyDescent="0.15">
      <c r="B994" s="58"/>
      <c r="C994" s="58"/>
      <c r="D994" s="58"/>
      <c r="E994" s="58"/>
      <c r="F994" s="58"/>
      <c r="G994" s="58"/>
      <c r="H994" s="58"/>
      <c r="I994" s="58"/>
      <c r="J994" s="58"/>
      <c r="K994" s="58"/>
      <c r="L994" s="58"/>
      <c r="M994" s="58"/>
      <c r="N994" s="58"/>
      <c r="O994" s="58"/>
      <c r="P994" s="58"/>
      <c r="Q994" s="58"/>
      <c r="R994" s="58"/>
      <c r="S994" s="58"/>
    </row>
    <row r="995" spans="2:19" x14ac:dyDescent="0.15">
      <c r="B995" s="58"/>
      <c r="C995" s="58"/>
      <c r="D995" s="58"/>
      <c r="E995" s="58"/>
      <c r="F995" s="58"/>
      <c r="G995" s="58"/>
      <c r="H995" s="58"/>
      <c r="I995" s="58"/>
      <c r="J995" s="58"/>
      <c r="K995" s="58"/>
      <c r="L995" s="58"/>
      <c r="M995" s="58"/>
      <c r="N995" s="58"/>
      <c r="O995" s="58"/>
      <c r="P995" s="58"/>
      <c r="Q995" s="58"/>
      <c r="R995" s="58"/>
      <c r="S995" s="58"/>
    </row>
    <row r="996" spans="2:19" x14ac:dyDescent="0.15">
      <c r="B996" s="58"/>
      <c r="C996" s="58"/>
      <c r="D996" s="58"/>
      <c r="E996" s="58"/>
      <c r="F996" s="58"/>
      <c r="G996" s="58"/>
      <c r="H996" s="58"/>
      <c r="I996" s="58"/>
      <c r="J996" s="58"/>
      <c r="K996" s="58"/>
      <c r="L996" s="58"/>
      <c r="M996" s="58"/>
      <c r="N996" s="58"/>
      <c r="O996" s="58"/>
      <c r="P996" s="58"/>
      <c r="Q996" s="58"/>
      <c r="R996" s="58"/>
      <c r="S996" s="58"/>
    </row>
    <row r="997" spans="2:19" x14ac:dyDescent="0.15">
      <c r="B997" s="58"/>
      <c r="C997" s="58"/>
      <c r="D997" s="58"/>
      <c r="E997" s="58"/>
      <c r="F997" s="58"/>
      <c r="G997" s="58"/>
      <c r="H997" s="58"/>
      <c r="I997" s="58"/>
      <c r="J997" s="58"/>
      <c r="K997" s="58"/>
      <c r="L997" s="58"/>
      <c r="M997" s="58"/>
      <c r="N997" s="58"/>
      <c r="O997" s="58"/>
      <c r="P997" s="58"/>
      <c r="Q997" s="58"/>
      <c r="R997" s="58"/>
      <c r="S997" s="58"/>
    </row>
    <row r="998" spans="2:19" x14ac:dyDescent="0.15">
      <c r="B998" s="58"/>
      <c r="C998" s="58"/>
      <c r="D998" s="58"/>
      <c r="E998" s="58"/>
      <c r="F998" s="58"/>
      <c r="G998" s="58"/>
      <c r="H998" s="58"/>
      <c r="I998" s="58"/>
      <c r="J998" s="58"/>
      <c r="K998" s="58"/>
      <c r="L998" s="58"/>
      <c r="M998" s="58"/>
      <c r="N998" s="58"/>
      <c r="O998" s="58"/>
      <c r="P998" s="58"/>
      <c r="Q998" s="58"/>
      <c r="R998" s="58"/>
      <c r="S998" s="58"/>
    </row>
    <row r="999" spans="2:19" x14ac:dyDescent="0.15">
      <c r="B999" s="58"/>
      <c r="C999" s="58"/>
      <c r="D999" s="58"/>
      <c r="E999" s="58"/>
      <c r="F999" s="58"/>
      <c r="G999" s="58"/>
      <c r="H999" s="58"/>
      <c r="I999" s="58"/>
      <c r="J999" s="58"/>
      <c r="K999" s="58"/>
      <c r="L999" s="58"/>
      <c r="M999" s="58"/>
      <c r="N999" s="58"/>
      <c r="O999" s="58"/>
      <c r="P999" s="58"/>
      <c r="Q999" s="58"/>
      <c r="R999" s="58"/>
      <c r="S999" s="58"/>
    </row>
    <row r="1000" spans="2:19" x14ac:dyDescent="0.15">
      <c r="B1000" s="58"/>
      <c r="C1000" s="58"/>
      <c r="D1000" s="58"/>
      <c r="E1000" s="58"/>
      <c r="F1000" s="58"/>
      <c r="G1000" s="58"/>
      <c r="H1000" s="58"/>
      <c r="I1000" s="58"/>
      <c r="J1000" s="58"/>
      <c r="K1000" s="58"/>
      <c r="L1000" s="58"/>
      <c r="M1000" s="58"/>
      <c r="N1000" s="58"/>
      <c r="O1000" s="58"/>
      <c r="P1000" s="58"/>
      <c r="Q1000" s="58"/>
      <c r="R1000" s="58"/>
      <c r="S1000" s="58"/>
    </row>
    <row r="1001" spans="2:19" x14ac:dyDescent="0.15">
      <c r="B1001" s="58"/>
      <c r="C1001" s="58"/>
      <c r="D1001" s="58"/>
      <c r="E1001" s="58"/>
      <c r="F1001" s="58"/>
      <c r="G1001" s="58"/>
      <c r="H1001" s="58"/>
      <c r="I1001" s="58"/>
      <c r="J1001" s="58"/>
      <c r="K1001" s="58"/>
      <c r="L1001" s="58"/>
      <c r="M1001" s="58"/>
      <c r="N1001" s="58"/>
      <c r="O1001" s="58"/>
      <c r="P1001" s="58"/>
      <c r="Q1001" s="58"/>
      <c r="R1001" s="58"/>
      <c r="S1001" s="58"/>
    </row>
    <row r="1002" spans="2:19" x14ac:dyDescent="0.15">
      <c r="B1002" s="58"/>
      <c r="C1002" s="58"/>
      <c r="D1002" s="58"/>
      <c r="E1002" s="58"/>
      <c r="F1002" s="58"/>
      <c r="G1002" s="58"/>
      <c r="H1002" s="58"/>
      <c r="I1002" s="58"/>
      <c r="J1002" s="58"/>
      <c r="K1002" s="58"/>
      <c r="L1002" s="58"/>
      <c r="M1002" s="58"/>
      <c r="N1002" s="58"/>
      <c r="O1002" s="58"/>
      <c r="P1002" s="58"/>
      <c r="Q1002" s="58"/>
      <c r="R1002" s="58"/>
      <c r="S1002" s="58"/>
    </row>
    <row r="1003" spans="2:19" x14ac:dyDescent="0.15">
      <c r="B1003" s="58"/>
      <c r="C1003" s="58"/>
      <c r="D1003" s="58"/>
      <c r="E1003" s="58"/>
      <c r="F1003" s="58"/>
      <c r="G1003" s="58"/>
      <c r="H1003" s="58"/>
      <c r="I1003" s="58"/>
      <c r="J1003" s="58"/>
      <c r="K1003" s="58"/>
      <c r="L1003" s="58"/>
      <c r="M1003" s="58"/>
      <c r="N1003" s="58"/>
      <c r="O1003" s="58"/>
      <c r="P1003" s="58"/>
      <c r="Q1003" s="58"/>
      <c r="R1003" s="58"/>
      <c r="S1003" s="58"/>
    </row>
    <row r="1004" spans="2:19" x14ac:dyDescent="0.15">
      <c r="B1004" s="58"/>
      <c r="C1004" s="58"/>
      <c r="D1004" s="58"/>
      <c r="E1004" s="58"/>
      <c r="F1004" s="58"/>
      <c r="G1004" s="58"/>
      <c r="H1004" s="58"/>
      <c r="I1004" s="58"/>
      <c r="J1004" s="58"/>
      <c r="K1004" s="58"/>
      <c r="L1004" s="58"/>
      <c r="M1004" s="58"/>
      <c r="N1004" s="58"/>
      <c r="O1004" s="58"/>
      <c r="P1004" s="58"/>
      <c r="Q1004" s="58"/>
      <c r="R1004" s="58"/>
      <c r="S1004" s="58"/>
    </row>
    <row r="1005" spans="2:19" x14ac:dyDescent="0.15">
      <c r="B1005" s="58"/>
      <c r="C1005" s="58"/>
      <c r="D1005" s="58"/>
      <c r="E1005" s="58"/>
      <c r="F1005" s="58"/>
      <c r="G1005" s="58"/>
      <c r="H1005" s="58"/>
      <c r="I1005" s="58"/>
      <c r="J1005" s="58"/>
      <c r="K1005" s="58"/>
      <c r="L1005" s="58"/>
      <c r="M1005" s="58"/>
      <c r="N1005" s="58"/>
      <c r="O1005" s="58"/>
      <c r="P1005" s="58"/>
      <c r="Q1005" s="58"/>
      <c r="R1005" s="58"/>
      <c r="S1005" s="58"/>
    </row>
    <row r="1006" spans="2:19" x14ac:dyDescent="0.15">
      <c r="B1006" s="58"/>
      <c r="C1006" s="58"/>
      <c r="D1006" s="58"/>
      <c r="E1006" s="58"/>
      <c r="F1006" s="58"/>
      <c r="G1006" s="58"/>
      <c r="H1006" s="58"/>
      <c r="I1006" s="58"/>
      <c r="J1006" s="58"/>
      <c r="K1006" s="58"/>
      <c r="L1006" s="58"/>
      <c r="M1006" s="58"/>
      <c r="N1006" s="58"/>
      <c r="O1006" s="58"/>
      <c r="P1006" s="58"/>
      <c r="Q1006" s="58"/>
      <c r="R1006" s="58"/>
      <c r="S1006" s="58"/>
    </row>
    <row r="1007" spans="2:19" x14ac:dyDescent="0.15">
      <c r="B1007" s="58"/>
      <c r="C1007" s="58"/>
      <c r="D1007" s="58"/>
      <c r="E1007" s="58"/>
      <c r="F1007" s="58"/>
      <c r="G1007" s="58"/>
      <c r="H1007" s="58"/>
      <c r="I1007" s="58"/>
      <c r="J1007" s="58"/>
      <c r="K1007" s="58"/>
      <c r="L1007" s="58"/>
      <c r="M1007" s="58"/>
      <c r="N1007" s="58"/>
      <c r="O1007" s="58"/>
      <c r="P1007" s="58"/>
      <c r="Q1007" s="58"/>
      <c r="R1007" s="58"/>
      <c r="S1007" s="58"/>
    </row>
    <row r="1008" spans="2:19" x14ac:dyDescent="0.15">
      <c r="B1008" s="58"/>
      <c r="C1008" s="58"/>
      <c r="D1008" s="58"/>
      <c r="E1008" s="58"/>
      <c r="F1008" s="58"/>
      <c r="G1008" s="58"/>
      <c r="H1008" s="58"/>
      <c r="I1008" s="58"/>
      <c r="J1008" s="58"/>
      <c r="K1008" s="58"/>
      <c r="L1008" s="58"/>
      <c r="M1008" s="58"/>
      <c r="N1008" s="58"/>
      <c r="O1008" s="58"/>
      <c r="P1008" s="58"/>
      <c r="Q1008" s="58"/>
      <c r="R1008" s="58"/>
      <c r="S1008" s="58"/>
    </row>
    <row r="1009" spans="2:19" x14ac:dyDescent="0.15">
      <c r="B1009" s="58"/>
      <c r="C1009" s="58"/>
      <c r="D1009" s="58"/>
      <c r="E1009" s="58"/>
      <c r="F1009" s="58"/>
      <c r="G1009" s="58"/>
      <c r="H1009" s="58"/>
      <c r="I1009" s="58"/>
      <c r="J1009" s="58"/>
      <c r="K1009" s="58"/>
      <c r="L1009" s="58"/>
      <c r="M1009" s="58"/>
      <c r="N1009" s="58"/>
      <c r="O1009" s="58"/>
      <c r="P1009" s="58"/>
      <c r="Q1009" s="58"/>
      <c r="R1009" s="58"/>
      <c r="S1009" s="58"/>
    </row>
    <row r="1010" spans="2:19" x14ac:dyDescent="0.15">
      <c r="B1010" s="58"/>
      <c r="C1010" s="58"/>
      <c r="D1010" s="58"/>
      <c r="E1010" s="58"/>
      <c r="F1010" s="58"/>
      <c r="G1010" s="58"/>
      <c r="H1010" s="58"/>
      <c r="I1010" s="58"/>
      <c r="J1010" s="58"/>
      <c r="K1010" s="58"/>
      <c r="L1010" s="58"/>
      <c r="M1010" s="58"/>
      <c r="N1010" s="58"/>
      <c r="O1010" s="58"/>
      <c r="P1010" s="58"/>
      <c r="Q1010" s="58"/>
      <c r="R1010" s="58"/>
      <c r="S1010" s="58"/>
    </row>
    <row r="1011" spans="2:19" x14ac:dyDescent="0.15">
      <c r="B1011" s="58"/>
      <c r="C1011" s="58"/>
      <c r="D1011" s="58"/>
      <c r="E1011" s="58"/>
      <c r="F1011" s="58"/>
      <c r="G1011" s="58"/>
      <c r="H1011" s="58"/>
      <c r="I1011" s="58"/>
      <c r="J1011" s="58"/>
      <c r="K1011" s="58"/>
      <c r="L1011" s="58"/>
      <c r="M1011" s="58"/>
      <c r="N1011" s="58"/>
      <c r="O1011" s="58"/>
      <c r="P1011" s="58"/>
      <c r="Q1011" s="58"/>
      <c r="R1011" s="58"/>
      <c r="S1011" s="58"/>
    </row>
    <row r="1012" spans="2:19" x14ac:dyDescent="0.15">
      <c r="B1012" s="58"/>
      <c r="C1012" s="58"/>
      <c r="D1012" s="58"/>
      <c r="E1012" s="58"/>
      <c r="F1012" s="58"/>
      <c r="G1012" s="58"/>
      <c r="H1012" s="58"/>
      <c r="I1012" s="58"/>
      <c r="J1012" s="58"/>
      <c r="K1012" s="58"/>
      <c r="L1012" s="58"/>
      <c r="M1012" s="58"/>
      <c r="N1012" s="58"/>
      <c r="O1012" s="58"/>
      <c r="P1012" s="58"/>
      <c r="Q1012" s="58"/>
      <c r="R1012" s="58"/>
      <c r="S1012" s="58"/>
    </row>
    <row r="1013" spans="2:19" x14ac:dyDescent="0.15">
      <c r="B1013" s="58"/>
      <c r="C1013" s="58"/>
      <c r="D1013" s="58"/>
      <c r="E1013" s="58"/>
      <c r="F1013" s="58"/>
      <c r="G1013" s="58"/>
      <c r="H1013" s="58"/>
      <c r="I1013" s="58"/>
      <c r="J1013" s="58"/>
      <c r="K1013" s="58"/>
      <c r="L1013" s="58"/>
      <c r="M1013" s="58"/>
      <c r="N1013" s="58"/>
      <c r="O1013" s="58"/>
      <c r="P1013" s="58"/>
      <c r="Q1013" s="58"/>
      <c r="R1013" s="58"/>
      <c r="S1013" s="58"/>
    </row>
    <row r="1014" spans="2:19" x14ac:dyDescent="0.15">
      <c r="B1014" s="58"/>
      <c r="C1014" s="58"/>
      <c r="D1014" s="58"/>
      <c r="E1014" s="58"/>
      <c r="F1014" s="58"/>
      <c r="G1014" s="58"/>
      <c r="H1014" s="58"/>
      <c r="I1014" s="58"/>
      <c r="J1014" s="58"/>
      <c r="K1014" s="58"/>
      <c r="L1014" s="58"/>
      <c r="M1014" s="58"/>
      <c r="N1014" s="58"/>
      <c r="O1014" s="58"/>
      <c r="P1014" s="58"/>
      <c r="Q1014" s="58"/>
      <c r="R1014" s="58"/>
      <c r="S1014" s="58"/>
    </row>
    <row r="1015" spans="2:19" x14ac:dyDescent="0.15">
      <c r="B1015" s="58"/>
      <c r="C1015" s="58"/>
      <c r="D1015" s="58"/>
      <c r="E1015" s="58"/>
      <c r="F1015" s="58"/>
      <c r="G1015" s="58"/>
      <c r="H1015" s="58"/>
      <c r="I1015" s="58"/>
      <c r="J1015" s="58"/>
      <c r="K1015" s="58"/>
      <c r="L1015" s="58"/>
      <c r="M1015" s="58"/>
      <c r="N1015" s="58"/>
      <c r="O1015" s="58"/>
      <c r="P1015" s="58"/>
      <c r="Q1015" s="58"/>
      <c r="R1015" s="58"/>
      <c r="S1015" s="58"/>
    </row>
    <row r="1016" spans="2:19" x14ac:dyDescent="0.15">
      <c r="B1016" s="58"/>
      <c r="C1016" s="58"/>
      <c r="D1016" s="58"/>
      <c r="E1016" s="58"/>
      <c r="F1016" s="58"/>
      <c r="G1016" s="58"/>
      <c r="H1016" s="58"/>
      <c r="I1016" s="58"/>
      <c r="J1016" s="58"/>
      <c r="K1016" s="58"/>
      <c r="L1016" s="58"/>
      <c r="M1016" s="58"/>
      <c r="N1016" s="58"/>
      <c r="O1016" s="58"/>
      <c r="P1016" s="58"/>
      <c r="Q1016" s="58"/>
      <c r="R1016" s="58"/>
      <c r="S1016" s="58"/>
    </row>
    <row r="1017" spans="2:19" x14ac:dyDescent="0.15">
      <c r="B1017" s="58"/>
      <c r="C1017" s="58"/>
      <c r="D1017" s="58"/>
      <c r="E1017" s="58"/>
      <c r="F1017" s="58"/>
      <c r="G1017" s="58"/>
      <c r="H1017" s="58"/>
      <c r="I1017" s="58"/>
      <c r="J1017" s="58"/>
      <c r="K1017" s="58"/>
      <c r="L1017" s="58"/>
      <c r="M1017" s="58"/>
      <c r="N1017" s="58"/>
      <c r="O1017" s="58"/>
      <c r="P1017" s="58"/>
      <c r="Q1017" s="58"/>
      <c r="R1017" s="58"/>
      <c r="S1017" s="58"/>
    </row>
    <row r="1018" spans="2:19" x14ac:dyDescent="0.15">
      <c r="B1018" s="58"/>
      <c r="C1018" s="58"/>
      <c r="D1018" s="58"/>
      <c r="E1018" s="58"/>
      <c r="F1018" s="58"/>
      <c r="G1018" s="58"/>
      <c r="H1018" s="58"/>
      <c r="I1018" s="58"/>
      <c r="J1018" s="58"/>
      <c r="K1018" s="58"/>
      <c r="L1018" s="58"/>
      <c r="M1018" s="58"/>
      <c r="N1018" s="58"/>
      <c r="O1018" s="58"/>
      <c r="P1018" s="58"/>
      <c r="Q1018" s="58"/>
      <c r="R1018" s="58"/>
      <c r="S1018" s="58"/>
    </row>
    <row r="1019" spans="2:19" x14ac:dyDescent="0.15">
      <c r="B1019" s="58"/>
      <c r="C1019" s="58"/>
      <c r="D1019" s="58"/>
      <c r="E1019" s="58"/>
      <c r="F1019" s="58"/>
      <c r="G1019" s="58"/>
      <c r="H1019" s="58"/>
      <c r="I1019" s="58"/>
      <c r="J1019" s="58"/>
      <c r="K1019" s="58"/>
      <c r="L1019" s="58"/>
      <c r="M1019" s="58"/>
      <c r="N1019" s="58"/>
      <c r="O1019" s="58"/>
      <c r="P1019" s="58"/>
      <c r="Q1019" s="58"/>
      <c r="R1019" s="58"/>
      <c r="S1019" s="58"/>
    </row>
    <row r="1020" spans="2:19" x14ac:dyDescent="0.15">
      <c r="B1020" s="58"/>
      <c r="C1020" s="58"/>
      <c r="D1020" s="58"/>
      <c r="E1020" s="58"/>
      <c r="F1020" s="58"/>
      <c r="G1020" s="58"/>
      <c r="H1020" s="58"/>
      <c r="I1020" s="58"/>
      <c r="J1020" s="58"/>
      <c r="K1020" s="58"/>
      <c r="L1020" s="58"/>
      <c r="M1020" s="58"/>
      <c r="N1020" s="58"/>
      <c r="O1020" s="58"/>
      <c r="P1020" s="58"/>
      <c r="Q1020" s="58"/>
      <c r="R1020" s="58"/>
      <c r="S1020" s="58"/>
    </row>
    <row r="1021" spans="2:19" x14ac:dyDescent="0.15">
      <c r="B1021" s="58"/>
      <c r="C1021" s="58"/>
      <c r="D1021" s="58"/>
      <c r="E1021" s="58"/>
      <c r="F1021" s="58"/>
      <c r="G1021" s="58"/>
      <c r="H1021" s="58"/>
      <c r="I1021" s="58"/>
      <c r="J1021" s="58"/>
      <c r="K1021" s="58"/>
      <c r="L1021" s="58"/>
      <c r="M1021" s="58"/>
      <c r="N1021" s="58"/>
      <c r="O1021" s="58"/>
      <c r="P1021" s="58"/>
      <c r="Q1021" s="58"/>
      <c r="R1021" s="58"/>
      <c r="S1021" s="58"/>
    </row>
  </sheetData>
  <mergeCells count="43">
    <mergeCell ref="C64:F64"/>
    <mergeCell ref="G65:L65"/>
    <mergeCell ref="E38:E39"/>
    <mergeCell ref="G38:I38"/>
    <mergeCell ref="G51:L51"/>
    <mergeCell ref="C52:C53"/>
    <mergeCell ref="D52:D53"/>
    <mergeCell ref="E52:E53"/>
    <mergeCell ref="G64:I64"/>
    <mergeCell ref="J64:L64"/>
    <mergeCell ref="G52:I52"/>
    <mergeCell ref="J52:L52"/>
    <mergeCell ref="F38:F39"/>
    <mergeCell ref="F52:F53"/>
    <mergeCell ref="C51:F51"/>
    <mergeCell ref="C38:C39"/>
    <mergeCell ref="M64:N64"/>
    <mergeCell ref="P64:Q64"/>
    <mergeCell ref="Q38:Q39"/>
    <mergeCell ref="P51:Q51"/>
    <mergeCell ref="P52:P53"/>
    <mergeCell ref="Q52:Q53"/>
    <mergeCell ref="M51:N51"/>
    <mergeCell ref="O51:O53"/>
    <mergeCell ref="M52:M53"/>
    <mergeCell ref="N52:N53"/>
    <mergeCell ref="O37:O39"/>
    <mergeCell ref="P37:Q37"/>
    <mergeCell ref="D38:D39"/>
    <mergeCell ref="J38:L38"/>
    <mergeCell ref="P38:P39"/>
    <mergeCell ref="C37:F37"/>
    <mergeCell ref="L11:N11"/>
    <mergeCell ref="L12:N12"/>
    <mergeCell ref="M37:N37"/>
    <mergeCell ref="M38:M39"/>
    <mergeCell ref="N38:N39"/>
    <mergeCell ref="G37:L37"/>
    <mergeCell ref="L4:L7"/>
    <mergeCell ref="O4:O7"/>
    <mergeCell ref="L8:L9"/>
    <mergeCell ref="O8:O9"/>
    <mergeCell ref="L10:N10"/>
  </mergeCells>
  <hyperlinks>
    <hyperlink ref="B21" r:id="rId1" xr:uid="{00000000-0004-0000-0100-000000000000}"/>
  </hyperlink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9"/>
    <outlinePr summaryBelow="0" summaryRight="0"/>
  </sheetPr>
  <dimension ref="B2:M20"/>
  <sheetViews>
    <sheetView tabSelected="1" zoomScaleNormal="100" workbookViewId="0">
      <selection activeCell="I19" sqref="I19"/>
    </sheetView>
  </sheetViews>
  <sheetFormatPr baseColWidth="10" defaultColWidth="8.1640625" defaultRowHeight="14" x14ac:dyDescent="0.15"/>
  <cols>
    <col min="1" max="1" width="7.33203125" style="176" customWidth="1"/>
    <col min="2" max="2" width="14" style="176" bestFit="1" customWidth="1"/>
    <col min="3" max="3" width="15.5" style="176" bestFit="1" customWidth="1"/>
    <col min="4" max="4" width="11.83203125" style="176" bestFit="1" customWidth="1"/>
    <col min="5" max="6" width="9" style="176" bestFit="1" customWidth="1"/>
    <col min="7" max="7" width="9" style="176" customWidth="1"/>
    <col min="8" max="8" width="18.33203125" style="176" bestFit="1" customWidth="1"/>
    <col min="9" max="9" width="19.1640625" style="176" bestFit="1" customWidth="1"/>
    <col min="10" max="10" width="8.1640625" style="176" customWidth="1"/>
    <col min="11" max="11" width="16.1640625" style="176" bestFit="1" customWidth="1"/>
    <col min="12" max="12" width="9" style="176" bestFit="1" customWidth="1"/>
    <col min="13" max="13" width="8.6640625" style="176" bestFit="1" customWidth="1"/>
    <col min="14" max="109" width="8.1640625" style="176" customWidth="1"/>
    <col min="110" max="16384" width="8.1640625" style="176"/>
  </cols>
  <sheetData>
    <row r="2" spans="2:13" x14ac:dyDescent="0.15">
      <c r="B2" s="58" t="s">
        <v>48</v>
      </c>
      <c r="C2" s="58">
        <v>1</v>
      </c>
      <c r="D2" s="26"/>
      <c r="E2" s="26"/>
    </row>
    <row r="3" spans="2:13" x14ac:dyDescent="0.15">
      <c r="B3" s="58" t="s">
        <v>49</v>
      </c>
      <c r="C3" s="177">
        <f>IFERROR(NOMINAL('Cartera 2021'!F15,C2),0)</f>
        <v>0</v>
      </c>
      <c r="D3" s="26"/>
      <c r="E3" s="26"/>
    </row>
    <row r="4" spans="2:13" x14ac:dyDescent="0.15">
      <c r="B4" s="58" t="s">
        <v>50</v>
      </c>
      <c r="C4" s="177">
        <f>'Cartera 2021'!J15</f>
        <v>0</v>
      </c>
      <c r="D4" s="26"/>
      <c r="E4" s="26"/>
    </row>
    <row r="5" spans="2:13" x14ac:dyDescent="0.15">
      <c r="B5" s="26"/>
      <c r="C5" s="58"/>
      <c r="D5" s="26"/>
      <c r="E5" s="107"/>
    </row>
    <row r="6" spans="2:13" ht="15" customHeight="1" x14ac:dyDescent="0.15">
      <c r="D6" s="26"/>
      <c r="E6" s="58" t="s">
        <v>51</v>
      </c>
      <c r="F6" s="38" t="s">
        <v>52</v>
      </c>
      <c r="H6" s="200" t="s">
        <v>53</v>
      </c>
      <c r="I6" s="201"/>
      <c r="K6" s="176" t="s">
        <v>54</v>
      </c>
      <c r="L6" s="111">
        <f>424.4-208</f>
        <v>216.39999999999998</v>
      </c>
      <c r="M6" s="38"/>
    </row>
    <row r="7" spans="2:13" ht="15" customHeight="1" x14ac:dyDescent="0.15">
      <c r="B7" s="65" t="s">
        <v>55</v>
      </c>
      <c r="C7" s="112">
        <f>'Cartera 2021'!D17</f>
        <v>9450</v>
      </c>
      <c r="D7" s="113">
        <f>C7+H8</f>
        <v>9743.08</v>
      </c>
      <c r="E7" s="107">
        <f>D7-C7</f>
        <v>293.07999999999993</v>
      </c>
      <c r="F7" s="116">
        <f>E7-E7*0.19</f>
        <v>237.39479999999995</v>
      </c>
      <c r="G7" s="116"/>
      <c r="H7" s="66" t="s">
        <v>56</v>
      </c>
      <c r="I7" s="66" t="s">
        <v>57</v>
      </c>
      <c r="K7" s="176" t="s">
        <v>58</v>
      </c>
      <c r="L7" s="111">
        <f>D11-L6</f>
        <v>196.86000000000206</v>
      </c>
      <c r="M7" s="36">
        <f>(L7/L6)-100%</f>
        <v>-9.0295748613668736E-2</v>
      </c>
    </row>
    <row r="8" spans="2:13" x14ac:dyDescent="0.15">
      <c r="B8" s="65" t="s">
        <v>59</v>
      </c>
      <c r="C8" s="112">
        <f>Asset!H11</f>
        <v>15200</v>
      </c>
      <c r="D8" s="113">
        <f>C8+I8</f>
        <v>15320.18</v>
      </c>
      <c r="E8" s="107">
        <f>D8-C8</f>
        <v>120.18000000000029</v>
      </c>
      <c r="H8" s="179">
        <f>SUM('Cartera 2021'!G4:G15)</f>
        <v>293.07999999999993</v>
      </c>
      <c r="I8" s="179">
        <f>Cuentas!N14+Cuentas!N21+Cuentas!N28</f>
        <v>120.18</v>
      </c>
    </row>
    <row r="9" spans="2:13" ht="15" customHeight="1" x14ac:dyDescent="0.15">
      <c r="B9" s="67" t="s">
        <v>60</v>
      </c>
      <c r="C9" s="114">
        <f>C7+C8</f>
        <v>24650</v>
      </c>
      <c r="D9" s="113">
        <f>D7+D8</f>
        <v>25063.260000000002</v>
      </c>
      <c r="H9" s="180">
        <f>(H8)/C7</f>
        <v>3.1013756613756605E-2</v>
      </c>
      <c r="I9" s="28">
        <f>I8/C8</f>
        <v>7.9065789473684207E-3</v>
      </c>
    </row>
    <row r="10" spans="2:13" x14ac:dyDescent="0.15">
      <c r="C10" s="38"/>
      <c r="E10" s="26"/>
      <c r="H10" s="202">
        <f>H8+I8</f>
        <v>413.25999999999993</v>
      </c>
      <c r="I10" s="201"/>
    </row>
    <row r="11" spans="2:13" ht="15" customHeight="1" x14ac:dyDescent="0.15">
      <c r="C11" s="73" t="s">
        <v>61</v>
      </c>
      <c r="D11" s="108">
        <f>D9-C9</f>
        <v>413.26000000000204</v>
      </c>
      <c r="E11" s="68">
        <f>D11/D9</f>
        <v>1.648867705158874E-2</v>
      </c>
      <c r="H11" s="203">
        <f>(H8+208+I8)/C9</f>
        <v>2.5203245436105477E-2</v>
      </c>
      <c r="I11" s="201"/>
    </row>
    <row r="12" spans="2:13" x14ac:dyDescent="0.15">
      <c r="C12" s="73" t="s">
        <v>62</v>
      </c>
      <c r="D12" s="115">
        <v>24.309411764706002</v>
      </c>
      <c r="E12" s="26"/>
      <c r="H12" s="69"/>
      <c r="I12" s="69"/>
    </row>
    <row r="13" spans="2:13" x14ac:dyDescent="0.15">
      <c r="C13" s="73" t="s">
        <v>63</v>
      </c>
      <c r="D13" s="58">
        <v>17</v>
      </c>
      <c r="E13" s="70"/>
    </row>
    <row r="16" spans="2:13" x14ac:dyDescent="0.15">
      <c r="E16" s="116"/>
    </row>
    <row r="17" spans="4:9" x14ac:dyDescent="0.15">
      <c r="D17" s="71"/>
      <c r="E17" s="71"/>
    </row>
    <row r="18" spans="4:9" x14ac:dyDescent="0.15">
      <c r="I18" s="72"/>
    </row>
    <row r="19" spans="4:9" x14ac:dyDescent="0.15">
      <c r="D19" s="71"/>
    </row>
    <row r="20" spans="4:9" x14ac:dyDescent="0.15">
      <c r="D20" s="71"/>
      <c r="F20" s="116"/>
      <c r="G20" s="116"/>
    </row>
  </sheetData>
  <mergeCells count="3">
    <mergeCell ref="H6:I6"/>
    <mergeCell ref="H10:I10"/>
    <mergeCell ref="H11:I11"/>
  </mergeCells>
  <conditionalFormatting sqref="H8:H11 I8:I9">
    <cfRule type="cellIs" dxfId="44" priority="1" operator="greaterThanOrEqual">
      <formula>0</formula>
    </cfRule>
    <cfRule type="cellIs" dxfId="43" priority="2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38761D"/>
    <outlinePr summaryBelow="0" summaryRight="0"/>
  </sheetPr>
  <dimension ref="B2:P27"/>
  <sheetViews>
    <sheetView zoomScaleNormal="100" workbookViewId="0">
      <selection activeCell="K22" sqref="K22"/>
    </sheetView>
  </sheetViews>
  <sheetFormatPr baseColWidth="10" defaultColWidth="37.6640625" defaultRowHeight="14" x14ac:dyDescent="0.15"/>
  <cols>
    <col min="1" max="1" width="3.5" style="176" customWidth="1"/>
    <col min="2" max="2" width="14.33203125" style="176" bestFit="1" customWidth="1"/>
    <col min="3" max="3" width="32.33203125" style="176" bestFit="1" customWidth="1"/>
    <col min="4" max="4" width="9" style="176" bestFit="1" customWidth="1"/>
    <col min="5" max="6" width="8" style="176" bestFit="1" customWidth="1"/>
    <col min="7" max="8" width="11.83203125" style="176" bestFit="1" customWidth="1"/>
    <col min="9" max="10" width="8" style="176" bestFit="1" customWidth="1"/>
    <col min="11" max="11" width="15.5" style="176" bestFit="1" customWidth="1"/>
    <col min="12" max="14" width="10.6640625" style="176" bestFit="1" customWidth="1"/>
    <col min="15" max="15" width="4.83203125" style="176" customWidth="1"/>
    <col min="16" max="16" width="10.6640625" style="176" bestFit="1" customWidth="1"/>
    <col min="17" max="27" width="37.6640625" style="176" customWidth="1"/>
    <col min="28" max="16384" width="37.6640625" style="176"/>
  </cols>
  <sheetData>
    <row r="2" spans="2:16" ht="15" customHeight="1" x14ac:dyDescent="0.15">
      <c r="B2" s="26"/>
      <c r="C2" s="41" t="s">
        <v>21</v>
      </c>
      <c r="D2" s="221" t="s">
        <v>64</v>
      </c>
      <c r="E2" s="222"/>
      <c r="F2" s="223"/>
      <c r="G2" s="221" t="s">
        <v>65</v>
      </c>
      <c r="H2" s="223"/>
      <c r="I2" s="221" t="s">
        <v>66</v>
      </c>
      <c r="J2" s="223"/>
      <c r="K2" s="181" t="s">
        <v>67</v>
      </c>
      <c r="L2" s="215" t="s">
        <v>68</v>
      </c>
      <c r="M2" s="216"/>
      <c r="N2" s="217"/>
    </row>
    <row r="3" spans="2:16" ht="15" customHeight="1" x14ac:dyDescent="0.15">
      <c r="B3" s="211" t="s">
        <v>69</v>
      </c>
      <c r="C3" s="42" t="str">
        <f>Estrategia!B5</f>
        <v>Baelo Patrimonio</v>
      </c>
      <c r="D3" s="43">
        <f>Estrategia!C5</f>
        <v>0.15</v>
      </c>
      <c r="E3" s="218">
        <f>C24/$C$19</f>
        <v>0.29411764705882354</v>
      </c>
      <c r="F3" s="44">
        <f t="shared" ref="F3:F10" si="0">D3*$E$3</f>
        <v>4.4117647058823532E-2</v>
      </c>
      <c r="G3" s="117">
        <f>'2021'!D17</f>
        <v>1200</v>
      </c>
      <c r="H3" s="224">
        <f>G3+G4+G5+G6+G7+G8+G9+G10</f>
        <v>9300</v>
      </c>
      <c r="I3" s="43">
        <f t="shared" ref="I3:I13" si="1">G3/$G$14</f>
        <v>4.8979591836734691E-2</v>
      </c>
      <c r="J3" s="208">
        <f>SUM(I3:I10)</f>
        <v>0.37959183673469393</v>
      </c>
      <c r="K3" s="118">
        <f>ROUND($C$19*Asset!F3,-1)</f>
        <v>1500</v>
      </c>
      <c r="L3" s="119">
        <f t="shared" ref="L3:L13" si="2">ROUND(K3-G3,-1)</f>
        <v>300</v>
      </c>
      <c r="M3" s="211">
        <f>SUM(L3:L13)</f>
        <v>9500</v>
      </c>
      <c r="N3" s="119">
        <f t="shared" ref="N3:N13" si="3">IFERROR(ROUND($N$14*(L3/$M$3),-2),0)</f>
        <v>0</v>
      </c>
      <c r="P3" s="204">
        <f>SUM(L3:L10)</f>
        <v>700</v>
      </c>
    </row>
    <row r="4" spans="2:16" ht="15" customHeight="1" x14ac:dyDescent="0.15">
      <c r="B4" s="212"/>
      <c r="C4" s="45" t="str">
        <f>Estrategia!B6</f>
        <v>Affinium</v>
      </c>
      <c r="D4" s="46">
        <f>Estrategia!C6</f>
        <v>0.1</v>
      </c>
      <c r="E4" s="206"/>
      <c r="F4" s="47">
        <f t="shared" si="0"/>
        <v>2.9411764705882356E-2</v>
      </c>
      <c r="G4" s="120">
        <f>'2021'!D53</f>
        <v>800</v>
      </c>
      <c r="H4" s="225"/>
      <c r="I4" s="46">
        <f t="shared" si="1"/>
        <v>3.2653061224489799E-2</v>
      </c>
      <c r="J4" s="209"/>
      <c r="K4" s="121">
        <f>ROUND($C$19*Asset!F4,-1)</f>
        <v>1000</v>
      </c>
      <c r="L4" s="121">
        <f t="shared" si="2"/>
        <v>200</v>
      </c>
      <c r="M4" s="212"/>
      <c r="N4" s="121">
        <f t="shared" si="3"/>
        <v>0</v>
      </c>
      <c r="P4" s="197"/>
    </row>
    <row r="5" spans="2:16" ht="15" customHeight="1" x14ac:dyDescent="0.15">
      <c r="B5" s="212"/>
      <c r="C5" s="45" t="str">
        <f>Estrategia!B7</f>
        <v>River CP</v>
      </c>
      <c r="D5" s="46">
        <f>Estrategia!C7</f>
        <v>0.5</v>
      </c>
      <c r="E5" s="206"/>
      <c r="F5" s="47">
        <f t="shared" si="0"/>
        <v>0.14705882352941177</v>
      </c>
      <c r="G5" s="120">
        <f>'2021'!X17</f>
        <v>5000</v>
      </c>
      <c r="H5" s="225"/>
      <c r="I5" s="46">
        <f t="shared" si="1"/>
        <v>0.20408163265306123</v>
      </c>
      <c r="J5" s="209"/>
      <c r="K5" s="121">
        <f>ROUND($C$19*Asset!F5,-1)</f>
        <v>5000</v>
      </c>
      <c r="L5" s="121">
        <f t="shared" si="2"/>
        <v>0</v>
      </c>
      <c r="M5" s="212"/>
      <c r="N5" s="121">
        <f t="shared" si="3"/>
        <v>0</v>
      </c>
      <c r="P5" s="197"/>
    </row>
    <row r="6" spans="2:16" ht="15" customHeight="1" x14ac:dyDescent="0.15">
      <c r="B6" s="212"/>
      <c r="C6" s="45" t="str">
        <f>Estrategia!B8</f>
        <v>Vanguard Global Stk</v>
      </c>
      <c r="D6" s="46">
        <f>Estrategia!C8</f>
        <v>0.1</v>
      </c>
      <c r="E6" s="206"/>
      <c r="F6" s="47">
        <f t="shared" si="0"/>
        <v>2.9411764705882356E-2</v>
      </c>
      <c r="G6" s="120">
        <f>'2021'!D35</f>
        <v>800</v>
      </c>
      <c r="H6" s="225"/>
      <c r="I6" s="46">
        <f t="shared" si="1"/>
        <v>3.2653061224489799E-2</v>
      </c>
      <c r="J6" s="209"/>
      <c r="K6" s="121">
        <f>ROUND($C$19*Asset!F6,-1)</f>
        <v>1000</v>
      </c>
      <c r="L6" s="121">
        <f t="shared" si="2"/>
        <v>200</v>
      </c>
      <c r="M6" s="212"/>
      <c r="N6" s="121">
        <f t="shared" si="3"/>
        <v>0</v>
      </c>
      <c r="P6" s="197"/>
    </row>
    <row r="7" spans="2:16" ht="15" customHeight="1" x14ac:dyDescent="0.15">
      <c r="B7" s="212"/>
      <c r="C7" s="45" t="str">
        <f>Estrategia!B9</f>
        <v>Fundsmith Equity T</v>
      </c>
      <c r="D7" s="46">
        <f>Estrategia!C9</f>
        <v>0.05</v>
      </c>
      <c r="E7" s="206"/>
      <c r="F7" s="47">
        <f t="shared" si="0"/>
        <v>1.4705882352941178E-2</v>
      </c>
      <c r="G7" s="120">
        <f>'2021'!N35</f>
        <v>500</v>
      </c>
      <c r="H7" s="225"/>
      <c r="I7" s="46">
        <f t="shared" si="1"/>
        <v>2.0408163265306121E-2</v>
      </c>
      <c r="J7" s="209"/>
      <c r="K7" s="121">
        <f>ROUND($C$19*Asset!F7,-1)</f>
        <v>500</v>
      </c>
      <c r="L7" s="121">
        <f t="shared" si="2"/>
        <v>0</v>
      </c>
      <c r="M7" s="212"/>
      <c r="N7" s="121">
        <f t="shared" si="3"/>
        <v>0</v>
      </c>
      <c r="P7" s="197"/>
    </row>
    <row r="8" spans="2:16" ht="15" customHeight="1" x14ac:dyDescent="0.15">
      <c r="B8" s="212"/>
      <c r="C8" s="45" t="str">
        <f>Estrategia!B10</f>
        <v>True Value</v>
      </c>
      <c r="D8" s="46">
        <f>Estrategia!C10</f>
        <v>0.05</v>
      </c>
      <c r="E8" s="206"/>
      <c r="F8" s="47">
        <f t="shared" si="0"/>
        <v>1.4705882352941178E-2</v>
      </c>
      <c r="G8" s="120">
        <f>'2021'!N17</f>
        <v>500</v>
      </c>
      <c r="H8" s="225"/>
      <c r="I8" s="46">
        <f t="shared" si="1"/>
        <v>2.0408163265306121E-2</v>
      </c>
      <c r="J8" s="209"/>
      <c r="K8" s="121">
        <f>ROUND($C$19*Asset!F8,-1)</f>
        <v>500</v>
      </c>
      <c r="L8" s="121">
        <f t="shared" si="2"/>
        <v>0</v>
      </c>
      <c r="M8" s="212"/>
      <c r="N8" s="121">
        <f t="shared" si="3"/>
        <v>0</v>
      </c>
      <c r="P8" s="197"/>
    </row>
    <row r="9" spans="2:16" ht="15" customHeight="1" x14ac:dyDescent="0.15">
      <c r="B9" s="212"/>
      <c r="C9" s="45" t="str">
        <f>Estrategia!B11</f>
        <v>MFS - Prudent Wealth Fund A1</v>
      </c>
      <c r="D9" s="46">
        <f>Estrategia!C11</f>
        <v>0.05</v>
      </c>
      <c r="E9" s="206"/>
      <c r="F9" s="47">
        <f t="shared" si="0"/>
        <v>1.4705882352941178E-2</v>
      </c>
      <c r="G9" s="120">
        <f>'2021'!X35</f>
        <v>500</v>
      </c>
      <c r="H9" s="225"/>
      <c r="I9" s="46">
        <f t="shared" si="1"/>
        <v>2.0408163265306121E-2</v>
      </c>
      <c r="J9" s="209"/>
      <c r="K9" s="121">
        <f>ROUND($C$19*Asset!F9,-1)</f>
        <v>500</v>
      </c>
      <c r="L9" s="121">
        <f t="shared" si="2"/>
        <v>0</v>
      </c>
      <c r="M9" s="212"/>
      <c r="N9" s="121">
        <f t="shared" si="3"/>
        <v>0</v>
      </c>
      <c r="P9" s="197"/>
    </row>
    <row r="10" spans="2:16" ht="15" customHeight="1" x14ac:dyDescent="0.15">
      <c r="B10" s="213"/>
      <c r="C10" s="45"/>
      <c r="D10" s="48">
        <f>Estrategia!C12</f>
        <v>0</v>
      </c>
      <c r="E10" s="206"/>
      <c r="F10" s="49">
        <f t="shared" si="0"/>
        <v>0</v>
      </c>
      <c r="G10" s="122"/>
      <c r="H10" s="225"/>
      <c r="I10" s="50">
        <f t="shared" si="1"/>
        <v>0</v>
      </c>
      <c r="J10" s="210"/>
      <c r="K10" s="123">
        <f>ROUND($C$19*Asset!F10,-1)</f>
        <v>0</v>
      </c>
      <c r="L10" s="123">
        <f t="shared" si="2"/>
        <v>0</v>
      </c>
      <c r="M10" s="212"/>
      <c r="N10" s="124">
        <f t="shared" si="3"/>
        <v>0</v>
      </c>
      <c r="P10" s="197"/>
    </row>
    <row r="11" spans="2:16" ht="15" customHeight="1" x14ac:dyDescent="0.15">
      <c r="B11" s="211" t="s">
        <v>59</v>
      </c>
      <c r="C11" s="51" t="s">
        <v>70</v>
      </c>
      <c r="D11" s="43">
        <f>C21/D21</f>
        <v>0</v>
      </c>
      <c r="E11" s="219">
        <f>C21/$C$19+C22/$C$19+C23/$C$19</f>
        <v>0.70588235294117652</v>
      </c>
      <c r="F11" s="44">
        <f>D11*E11</f>
        <v>0</v>
      </c>
      <c r="G11" s="125">
        <f>Cuentas!C3</f>
        <v>200</v>
      </c>
      <c r="H11" s="214">
        <f>G11+G12+G13</f>
        <v>15200</v>
      </c>
      <c r="I11" s="52">
        <f t="shared" si="1"/>
        <v>8.1632653061224497E-3</v>
      </c>
      <c r="J11" s="208">
        <f>I11+I12+I13</f>
        <v>0.62040816326530612</v>
      </c>
      <c r="K11" s="119">
        <f>ROUND($C$19*Asset!F11,-1)</f>
        <v>0</v>
      </c>
      <c r="L11" s="119">
        <f t="shared" si="2"/>
        <v>-200</v>
      </c>
      <c r="M11" s="212"/>
      <c r="N11" s="119">
        <f t="shared" si="3"/>
        <v>0</v>
      </c>
      <c r="P11" s="204">
        <f>SUM(L11:L13)</f>
        <v>8800</v>
      </c>
    </row>
    <row r="12" spans="2:16" ht="15" customHeight="1" x14ac:dyDescent="0.15">
      <c r="B12" s="212"/>
      <c r="C12" s="53" t="s">
        <v>71</v>
      </c>
      <c r="D12" s="46">
        <f>C22/D21</f>
        <v>0.83333333333333337</v>
      </c>
      <c r="E12" s="206"/>
      <c r="F12" s="47">
        <f>D12*E11</f>
        <v>0.58823529411764708</v>
      </c>
      <c r="G12" s="126">
        <f>Cuentas!C4</f>
        <v>15000</v>
      </c>
      <c r="H12" s="209"/>
      <c r="I12" s="54">
        <f t="shared" si="1"/>
        <v>0.61224489795918369</v>
      </c>
      <c r="J12" s="209"/>
      <c r="K12" s="121">
        <f>ROUND($C$19*Asset!F12,-1)</f>
        <v>20000</v>
      </c>
      <c r="L12" s="121">
        <f t="shared" si="2"/>
        <v>5000</v>
      </c>
      <c r="M12" s="212"/>
      <c r="N12" s="121">
        <f t="shared" si="3"/>
        <v>500</v>
      </c>
      <c r="P12" s="197"/>
    </row>
    <row r="13" spans="2:16" ht="15" customHeight="1" x14ac:dyDescent="0.15">
      <c r="B13" s="213"/>
      <c r="C13" s="55" t="s">
        <v>72</v>
      </c>
      <c r="D13" s="50">
        <f>C23/D21</f>
        <v>0.16666666666666666</v>
      </c>
      <c r="E13" s="220"/>
      <c r="F13" s="56">
        <f>D13*E11</f>
        <v>0.11764705882352941</v>
      </c>
      <c r="G13" s="127">
        <f>Cuentas!C5</f>
        <v>0</v>
      </c>
      <c r="H13" s="210"/>
      <c r="I13" s="57">
        <f t="shared" si="1"/>
        <v>0</v>
      </c>
      <c r="J13" s="210"/>
      <c r="K13" s="124">
        <f>ROUND($C$19*Asset!F13,-1)</f>
        <v>4000</v>
      </c>
      <c r="L13" s="124">
        <f t="shared" si="2"/>
        <v>4000</v>
      </c>
      <c r="M13" s="213"/>
      <c r="N13" s="124">
        <f t="shared" si="3"/>
        <v>400</v>
      </c>
      <c r="P13" s="197"/>
    </row>
    <row r="14" spans="2:16" ht="15" customHeight="1" x14ac:dyDescent="0.15">
      <c r="B14" s="38"/>
      <c r="C14" s="38"/>
      <c r="D14" s="58"/>
      <c r="E14" s="58"/>
      <c r="F14" s="58"/>
      <c r="G14" s="128">
        <f>SUM(G3:G13)</f>
        <v>24500</v>
      </c>
      <c r="H14" s="38"/>
      <c r="I14" s="38"/>
      <c r="J14" s="38"/>
      <c r="K14" s="38"/>
      <c r="L14" s="38"/>
      <c r="M14" s="38"/>
      <c r="N14" s="129">
        <v>1000</v>
      </c>
    </row>
    <row r="15" spans="2:16" x14ac:dyDescent="0.15">
      <c r="M15" s="26"/>
      <c r="N15" s="26"/>
    </row>
    <row r="16" spans="2:16" x14ac:dyDescent="0.15">
      <c r="B16" s="26"/>
    </row>
    <row r="17" spans="2:10" x14ac:dyDescent="0.15">
      <c r="B17" s="30"/>
    </row>
    <row r="18" spans="2:10" x14ac:dyDescent="0.15">
      <c r="B18" s="30"/>
    </row>
    <row r="19" spans="2:10" ht="15" customHeight="1" x14ac:dyDescent="0.15">
      <c r="B19" s="59" t="s">
        <v>73</v>
      </c>
      <c r="C19" s="130">
        <v>34000</v>
      </c>
      <c r="D19" s="131">
        <f>C19-(C21+C22+C23+C24)</f>
        <v>0</v>
      </c>
      <c r="H19" s="116"/>
      <c r="I19" s="26"/>
      <c r="J19" s="132"/>
    </row>
    <row r="20" spans="2:10" x14ac:dyDescent="0.15">
      <c r="B20" s="60"/>
      <c r="C20" s="61"/>
      <c r="D20" s="62"/>
    </row>
    <row r="21" spans="2:10" ht="15" customHeight="1" x14ac:dyDescent="0.15">
      <c r="B21" s="63"/>
      <c r="C21" s="179"/>
      <c r="D21" s="205">
        <f>C21+C22+C23</f>
        <v>24000</v>
      </c>
      <c r="E21" s="133"/>
    </row>
    <row r="22" spans="2:10" ht="15" customHeight="1" x14ac:dyDescent="0.15">
      <c r="B22" s="63" t="s">
        <v>71</v>
      </c>
      <c r="C22" s="179">
        <v>20000</v>
      </c>
      <c r="D22" s="206"/>
      <c r="E22" s="133"/>
    </row>
    <row r="23" spans="2:10" ht="15" customHeight="1" x14ac:dyDescent="0.15">
      <c r="B23" s="63" t="s">
        <v>72</v>
      </c>
      <c r="C23" s="179">
        <v>4000</v>
      </c>
      <c r="D23" s="207"/>
    </row>
    <row r="24" spans="2:10" ht="15" customHeight="1" x14ac:dyDescent="0.15">
      <c r="B24" s="64" t="s">
        <v>69</v>
      </c>
      <c r="C24" s="134">
        <v>10000</v>
      </c>
      <c r="D24" s="135"/>
    </row>
    <row r="27" spans="2:10" x14ac:dyDescent="0.15">
      <c r="I27" s="136"/>
    </row>
  </sheetData>
  <mergeCells count="16">
    <mergeCell ref="B11:B13"/>
    <mergeCell ref="H11:H13"/>
    <mergeCell ref="L2:N2"/>
    <mergeCell ref="M3:M13"/>
    <mergeCell ref="E3:E10"/>
    <mergeCell ref="E11:E13"/>
    <mergeCell ref="D2:F2"/>
    <mergeCell ref="G2:H2"/>
    <mergeCell ref="I2:J2"/>
    <mergeCell ref="B3:B10"/>
    <mergeCell ref="H3:H10"/>
    <mergeCell ref="P3:P10"/>
    <mergeCell ref="P11:P13"/>
    <mergeCell ref="D21:D23"/>
    <mergeCell ref="J3:J10"/>
    <mergeCell ref="J11:J13"/>
  </mergeCells>
  <conditionalFormatting sqref="L3:L13">
    <cfRule type="cellIs" dxfId="42" priority="1" operator="lessThan">
      <formula>0</formula>
    </cfRule>
    <cfRule type="cellIs" dxfId="41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FF00FF"/>
    <outlinePr summaryBelow="0" summaryRight="0"/>
  </sheetPr>
  <dimension ref="B2:W28"/>
  <sheetViews>
    <sheetView zoomScaleNormal="100" workbookViewId="0">
      <selection activeCell="X8" sqref="X8"/>
    </sheetView>
  </sheetViews>
  <sheetFormatPr baseColWidth="10" defaultColWidth="14.5" defaultRowHeight="14" x14ac:dyDescent="0.15"/>
  <cols>
    <col min="1" max="1" width="6.1640625" style="176" customWidth="1"/>
    <col min="2" max="2" width="14.33203125" style="176" bestFit="1" customWidth="1"/>
    <col min="3" max="3" width="11.83203125" style="176" bestFit="1" customWidth="1"/>
    <col min="4" max="4" width="9.1640625" style="176" bestFit="1" customWidth="1"/>
    <col min="5" max="6" width="7.83203125" style="176" bestFit="1" customWidth="1"/>
    <col min="7" max="8" width="6.6640625" style="176" bestFit="1" customWidth="1"/>
    <col min="9" max="9" width="8" style="176" bestFit="1" customWidth="1"/>
    <col min="10" max="10" width="12.6640625" style="176" bestFit="1" customWidth="1"/>
    <col min="11" max="11" width="9.33203125" style="176" bestFit="1" customWidth="1"/>
    <col min="12" max="12" width="12.1640625" style="176" bestFit="1" customWidth="1"/>
    <col min="13" max="13" width="11.33203125" style="176" bestFit="1" customWidth="1"/>
    <col min="14" max="14" width="10.5" style="176" bestFit="1" customWidth="1"/>
    <col min="15" max="15" width="6.1640625" style="176" customWidth="1"/>
    <col min="16" max="16" width="10.33203125" style="176" hidden="1" customWidth="1"/>
    <col min="17" max="17" width="16.33203125" style="176" hidden="1" customWidth="1"/>
    <col min="18" max="23" width="14.5" style="176" hidden="1" customWidth="1"/>
    <col min="24" max="93" width="14.5" style="176" customWidth="1"/>
    <col min="94" max="16384" width="14.5" style="176"/>
  </cols>
  <sheetData>
    <row r="2" spans="2:14" ht="15" customHeight="1" x14ac:dyDescent="0.15">
      <c r="B2" s="98" t="s">
        <v>59</v>
      </c>
      <c r="C2" s="99" t="s">
        <v>74</v>
      </c>
      <c r="D2" s="99" t="s">
        <v>75</v>
      </c>
    </row>
    <row r="3" spans="2:14" ht="15" customHeight="1" x14ac:dyDescent="0.15">
      <c r="B3" s="100" t="s">
        <v>70</v>
      </c>
      <c r="C3" s="137">
        <f>200</f>
        <v>200</v>
      </c>
      <c r="D3" s="101">
        <f>C3/($C$6)</f>
        <v>1.3157894736842105E-2</v>
      </c>
      <c r="G3" s="116"/>
    </row>
    <row r="4" spans="2:14" ht="15" customHeight="1" x14ac:dyDescent="0.15">
      <c r="B4" s="102" t="s">
        <v>71</v>
      </c>
      <c r="C4" s="138">
        <v>15000</v>
      </c>
      <c r="D4" s="90">
        <f>C4/($C$6)</f>
        <v>0.98684210526315785</v>
      </c>
    </row>
    <row r="5" spans="2:14" ht="15" customHeight="1" x14ac:dyDescent="0.15">
      <c r="B5" s="103" t="s">
        <v>76</v>
      </c>
      <c r="C5" s="139">
        <v>0</v>
      </c>
      <c r="D5" s="90">
        <f>C5/($C$6)</f>
        <v>0</v>
      </c>
    </row>
    <row r="6" spans="2:14" ht="15" customHeight="1" x14ac:dyDescent="0.15">
      <c r="B6" s="98" t="s">
        <v>77</v>
      </c>
      <c r="C6" s="140">
        <f>SUM(C3:C5)</f>
        <v>15200</v>
      </c>
      <c r="D6" s="104">
        <f>SUM(D3:D4)</f>
        <v>1</v>
      </c>
      <c r="F6" s="116"/>
    </row>
    <row r="9" spans="2:14" ht="15" customHeight="1" x14ac:dyDescent="0.15">
      <c r="B9" s="226">
        <v>2020</v>
      </c>
      <c r="C9" s="227"/>
      <c r="D9" s="227"/>
      <c r="E9" s="227"/>
      <c r="F9" s="227"/>
      <c r="G9" s="227"/>
      <c r="H9" s="227"/>
      <c r="I9" s="227"/>
      <c r="J9" s="227"/>
      <c r="K9" s="227"/>
      <c r="L9" s="227"/>
      <c r="M9" s="228"/>
      <c r="N9" s="229" t="s">
        <v>78</v>
      </c>
    </row>
    <row r="10" spans="2:14" ht="15" customHeight="1" x14ac:dyDescent="0.15">
      <c r="B10" s="105" t="s">
        <v>79</v>
      </c>
      <c r="C10" s="63" t="s">
        <v>80</v>
      </c>
      <c r="D10" s="63" t="s">
        <v>81</v>
      </c>
      <c r="E10" s="63" t="s">
        <v>82</v>
      </c>
      <c r="F10" s="63" t="s">
        <v>83</v>
      </c>
      <c r="G10" s="63" t="s">
        <v>84</v>
      </c>
      <c r="H10" s="63" t="s">
        <v>85</v>
      </c>
      <c r="I10" s="63" t="s">
        <v>86</v>
      </c>
      <c r="J10" s="63" t="s">
        <v>87</v>
      </c>
      <c r="K10" s="63" t="s">
        <v>88</v>
      </c>
      <c r="L10" s="63" t="s">
        <v>89</v>
      </c>
      <c r="M10" s="63" t="s">
        <v>90</v>
      </c>
      <c r="N10" s="230"/>
    </row>
    <row r="11" spans="2:14" ht="15" customHeight="1" x14ac:dyDescent="0.15">
      <c r="B11" s="141">
        <v>3.26</v>
      </c>
      <c r="C11" s="142">
        <v>4.5</v>
      </c>
      <c r="D11" s="142">
        <v>4.59</v>
      </c>
      <c r="E11" s="142">
        <v>3.94</v>
      </c>
      <c r="F11" s="142">
        <v>5.07</v>
      </c>
      <c r="G11" s="142">
        <v>5.62</v>
      </c>
      <c r="H11" s="142">
        <v>5.98</v>
      </c>
      <c r="I11" s="142">
        <v>6.99</v>
      </c>
      <c r="J11" s="142">
        <v>7.38</v>
      </c>
      <c r="K11" s="142">
        <v>7.27</v>
      </c>
      <c r="L11" s="142">
        <v>7.91</v>
      </c>
      <c r="M11" s="179">
        <v>7.98</v>
      </c>
      <c r="N11" s="143">
        <f>SUM(B11:M11)</f>
        <v>70.490000000000009</v>
      </c>
    </row>
    <row r="12" spans="2:14" ht="15" customHeight="1" x14ac:dyDescent="0.15">
      <c r="B12" s="144"/>
      <c r="C12" s="145"/>
      <c r="D12" s="145"/>
      <c r="E12" s="145"/>
      <c r="F12" s="145"/>
      <c r="G12" s="145"/>
      <c r="H12" s="145"/>
      <c r="I12" s="145"/>
      <c r="J12" s="145"/>
      <c r="K12" s="145"/>
      <c r="L12" s="179">
        <v>0.05</v>
      </c>
      <c r="M12" s="179">
        <v>0.31</v>
      </c>
      <c r="N12" s="143">
        <f>SUM(B12:M12)</f>
        <v>0.36</v>
      </c>
    </row>
    <row r="13" spans="2:14" ht="15" customHeight="1" x14ac:dyDescent="0.15">
      <c r="B13" s="146"/>
      <c r="C13" s="131"/>
      <c r="D13" s="131"/>
      <c r="E13" s="131"/>
      <c r="F13" s="131"/>
      <c r="G13" s="131"/>
      <c r="H13" s="131"/>
      <c r="I13" s="131"/>
      <c r="J13" s="131"/>
      <c r="K13" s="145"/>
      <c r="L13" s="147"/>
      <c r="M13" s="147"/>
      <c r="N13" s="143">
        <f>SUM(B13:M13)</f>
        <v>0</v>
      </c>
    </row>
    <row r="14" spans="2:14" ht="15" customHeight="1" x14ac:dyDescent="0.15">
      <c r="B14" s="148">
        <f t="shared" ref="B14:N14" si="0">SUM(B11:B12)</f>
        <v>3.26</v>
      </c>
      <c r="C14" s="149">
        <f t="shared" si="0"/>
        <v>4.5</v>
      </c>
      <c r="D14" s="149">
        <f t="shared" si="0"/>
        <v>4.59</v>
      </c>
      <c r="E14" s="149">
        <f t="shared" si="0"/>
        <v>3.94</v>
      </c>
      <c r="F14" s="149">
        <f t="shared" si="0"/>
        <v>5.07</v>
      </c>
      <c r="G14" s="149">
        <f t="shared" si="0"/>
        <v>5.62</v>
      </c>
      <c r="H14" s="149">
        <f t="shared" si="0"/>
        <v>5.98</v>
      </c>
      <c r="I14" s="149">
        <f t="shared" si="0"/>
        <v>6.99</v>
      </c>
      <c r="J14" s="149">
        <f t="shared" si="0"/>
        <v>7.38</v>
      </c>
      <c r="K14" s="149">
        <f t="shared" si="0"/>
        <v>7.27</v>
      </c>
      <c r="L14" s="149">
        <f t="shared" si="0"/>
        <v>7.96</v>
      </c>
      <c r="M14" s="149">
        <f t="shared" si="0"/>
        <v>8.2900000000000009</v>
      </c>
      <c r="N14" s="150">
        <f t="shared" si="0"/>
        <v>70.850000000000009</v>
      </c>
    </row>
    <row r="16" spans="2:14" ht="15" customHeight="1" x14ac:dyDescent="0.15">
      <c r="B16" s="226">
        <v>2021</v>
      </c>
      <c r="C16" s="227"/>
      <c r="D16" s="227"/>
      <c r="E16" s="227"/>
      <c r="F16" s="227"/>
      <c r="G16" s="227"/>
      <c r="H16" s="227"/>
      <c r="I16" s="227"/>
      <c r="J16" s="227"/>
      <c r="K16" s="227"/>
      <c r="L16" s="227"/>
      <c r="M16" s="228"/>
      <c r="N16" s="229" t="s">
        <v>78</v>
      </c>
    </row>
    <row r="17" spans="2:14" ht="15" customHeight="1" x14ac:dyDescent="0.15">
      <c r="B17" s="105" t="s">
        <v>79</v>
      </c>
      <c r="C17" s="63" t="s">
        <v>80</v>
      </c>
      <c r="D17" s="63" t="s">
        <v>81</v>
      </c>
      <c r="E17" s="63" t="s">
        <v>82</v>
      </c>
      <c r="F17" s="63" t="s">
        <v>83</v>
      </c>
      <c r="G17" s="63" t="s">
        <v>84</v>
      </c>
      <c r="H17" s="63" t="s">
        <v>85</v>
      </c>
      <c r="I17" s="63" t="s">
        <v>86</v>
      </c>
      <c r="J17" s="63" t="s">
        <v>87</v>
      </c>
      <c r="K17" s="63" t="s">
        <v>88</v>
      </c>
      <c r="L17" s="63" t="s">
        <v>89</v>
      </c>
      <c r="M17" s="63" t="s">
        <v>90</v>
      </c>
      <c r="N17" s="230"/>
    </row>
    <row r="18" spans="2:14" ht="15" customHeight="1" x14ac:dyDescent="0.15">
      <c r="B18" s="141">
        <v>9.15</v>
      </c>
      <c r="C18" s="142">
        <v>4.1100000000000003</v>
      </c>
      <c r="D18" s="142">
        <v>0.13</v>
      </c>
      <c r="E18" s="142">
        <v>0.12</v>
      </c>
      <c r="F18" s="142">
        <v>0.08</v>
      </c>
      <c r="G18" s="142"/>
      <c r="H18" s="142"/>
      <c r="I18" s="142"/>
      <c r="J18" s="142"/>
      <c r="K18" s="142"/>
      <c r="L18" s="142"/>
      <c r="M18" s="142"/>
      <c r="N18" s="143">
        <f>SUM(B18:M18)</f>
        <v>13.590000000000002</v>
      </c>
    </row>
    <row r="19" spans="2:14" ht="15" customHeight="1" x14ac:dyDescent="0.15">
      <c r="B19" s="141">
        <v>0.67</v>
      </c>
      <c r="C19" s="142">
        <f>6.5</f>
        <v>6.5</v>
      </c>
      <c r="D19" s="142">
        <v>8.69</v>
      </c>
      <c r="E19" s="142">
        <v>9.93</v>
      </c>
      <c r="F19" s="142">
        <v>9.9499999999999993</v>
      </c>
      <c r="G19" s="142"/>
      <c r="H19" s="142"/>
      <c r="I19" s="142"/>
      <c r="J19" s="142"/>
      <c r="K19" s="142"/>
      <c r="L19" s="142"/>
      <c r="M19" s="142"/>
      <c r="N19" s="143">
        <f>SUM(B19:M19)</f>
        <v>35.739999999999995</v>
      </c>
    </row>
    <row r="20" spans="2:14" ht="15" customHeight="1" x14ac:dyDescent="0.15">
      <c r="B20" s="151"/>
      <c r="C20" s="152">
        <v>0.22</v>
      </c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43">
        <f>SUM(B20:M20)</f>
        <v>0.22</v>
      </c>
    </row>
    <row r="21" spans="2:14" ht="15" customHeight="1" x14ac:dyDescent="0.15">
      <c r="B21" s="148">
        <f t="shared" ref="B21:N21" si="1">SUM(B18:B19)</f>
        <v>9.82</v>
      </c>
      <c r="C21" s="149">
        <f t="shared" si="1"/>
        <v>10.61</v>
      </c>
      <c r="D21" s="149">
        <f t="shared" si="1"/>
        <v>8.82</v>
      </c>
      <c r="E21" s="149">
        <f t="shared" si="1"/>
        <v>10.049999999999999</v>
      </c>
      <c r="F21" s="149">
        <f t="shared" si="1"/>
        <v>10.029999999999999</v>
      </c>
      <c r="G21" s="149">
        <f t="shared" si="1"/>
        <v>0</v>
      </c>
      <c r="H21" s="149">
        <f t="shared" si="1"/>
        <v>0</v>
      </c>
      <c r="I21" s="149">
        <f t="shared" si="1"/>
        <v>0</v>
      </c>
      <c r="J21" s="149">
        <f t="shared" si="1"/>
        <v>0</v>
      </c>
      <c r="K21" s="149">
        <f t="shared" si="1"/>
        <v>0</v>
      </c>
      <c r="L21" s="149">
        <f t="shared" si="1"/>
        <v>0</v>
      </c>
      <c r="M21" s="149">
        <f t="shared" si="1"/>
        <v>0</v>
      </c>
      <c r="N21" s="150">
        <f t="shared" si="1"/>
        <v>49.33</v>
      </c>
    </row>
    <row r="23" spans="2:14" ht="15" customHeight="1" x14ac:dyDescent="0.15">
      <c r="B23" s="226">
        <v>2022</v>
      </c>
      <c r="C23" s="227"/>
      <c r="D23" s="227"/>
      <c r="E23" s="227"/>
      <c r="F23" s="227"/>
      <c r="G23" s="227"/>
      <c r="H23" s="227"/>
      <c r="I23" s="227"/>
      <c r="J23" s="227"/>
      <c r="K23" s="227"/>
      <c r="L23" s="227"/>
      <c r="M23" s="228"/>
      <c r="N23" s="229" t="s">
        <v>78</v>
      </c>
    </row>
    <row r="24" spans="2:14" ht="15" customHeight="1" x14ac:dyDescent="0.15">
      <c r="B24" s="105" t="s">
        <v>79</v>
      </c>
      <c r="C24" s="63" t="s">
        <v>80</v>
      </c>
      <c r="D24" s="63" t="s">
        <v>81</v>
      </c>
      <c r="E24" s="63" t="s">
        <v>82</v>
      </c>
      <c r="F24" s="63" t="s">
        <v>83</v>
      </c>
      <c r="G24" s="63" t="s">
        <v>84</v>
      </c>
      <c r="H24" s="63" t="s">
        <v>85</v>
      </c>
      <c r="I24" s="63" t="s">
        <v>86</v>
      </c>
      <c r="J24" s="63" t="s">
        <v>87</v>
      </c>
      <c r="K24" s="63" t="s">
        <v>88</v>
      </c>
      <c r="L24" s="63" t="s">
        <v>89</v>
      </c>
      <c r="M24" s="63" t="s">
        <v>90</v>
      </c>
      <c r="N24" s="230"/>
    </row>
    <row r="25" spans="2:14" ht="15" customHeight="1" x14ac:dyDescent="0.15">
      <c r="B25" s="141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3">
        <f>SUM(B25:M25)</f>
        <v>0</v>
      </c>
    </row>
    <row r="26" spans="2:14" ht="15" customHeight="1" x14ac:dyDescent="0.15">
      <c r="B26" s="141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3">
        <f>SUM(B26:M26)</f>
        <v>0</v>
      </c>
    </row>
    <row r="27" spans="2:14" ht="15" customHeight="1" x14ac:dyDescent="0.15">
      <c r="B27" s="151"/>
      <c r="C27" s="152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43">
        <f>SUM(B27:M27)</f>
        <v>0</v>
      </c>
    </row>
    <row r="28" spans="2:14" ht="15" customHeight="1" x14ac:dyDescent="0.15">
      <c r="B28" s="148">
        <f t="shared" ref="B28:N28" si="2">SUM(B25:B26)</f>
        <v>0</v>
      </c>
      <c r="C28" s="149">
        <f t="shared" si="2"/>
        <v>0</v>
      </c>
      <c r="D28" s="149">
        <f t="shared" si="2"/>
        <v>0</v>
      </c>
      <c r="E28" s="149">
        <f t="shared" si="2"/>
        <v>0</v>
      </c>
      <c r="F28" s="149">
        <f t="shared" si="2"/>
        <v>0</v>
      </c>
      <c r="G28" s="149">
        <f t="shared" si="2"/>
        <v>0</v>
      </c>
      <c r="H28" s="149">
        <f t="shared" si="2"/>
        <v>0</v>
      </c>
      <c r="I28" s="149">
        <f t="shared" si="2"/>
        <v>0</v>
      </c>
      <c r="J28" s="149">
        <f t="shared" si="2"/>
        <v>0</v>
      </c>
      <c r="K28" s="149">
        <f t="shared" si="2"/>
        <v>0</v>
      </c>
      <c r="L28" s="149">
        <f t="shared" si="2"/>
        <v>0</v>
      </c>
      <c r="M28" s="149">
        <f t="shared" si="2"/>
        <v>0</v>
      </c>
      <c r="N28" s="150">
        <f t="shared" si="2"/>
        <v>0</v>
      </c>
    </row>
  </sheetData>
  <mergeCells count="6">
    <mergeCell ref="B9:M9"/>
    <mergeCell ref="N9:N10"/>
    <mergeCell ref="B16:M16"/>
    <mergeCell ref="N16:N17"/>
    <mergeCell ref="B23:M23"/>
    <mergeCell ref="N23:N24"/>
  </mergeCells>
  <conditionalFormatting sqref="N11:N13 N18:N20 N25:N27">
    <cfRule type="cellIs" dxfId="40" priority="1" operator="greaterThanOrEqual">
      <formula>0</formula>
    </cfRule>
    <cfRule type="cellIs" dxfId="39" priority="2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4A86E8"/>
    <outlinePr summaryBelow="0" summaryRight="0"/>
  </sheetPr>
  <dimension ref="B1:M1005"/>
  <sheetViews>
    <sheetView zoomScaleNormal="100" workbookViewId="0">
      <selection activeCell="G21" sqref="G21"/>
    </sheetView>
  </sheetViews>
  <sheetFormatPr baseColWidth="10" defaultColWidth="12.5" defaultRowHeight="14" x14ac:dyDescent="0.15"/>
  <cols>
    <col min="1" max="1" width="5" style="176" customWidth="1"/>
    <col min="2" max="2" width="20" style="176" bestFit="1" customWidth="1"/>
    <col min="3" max="3" width="11.5" style="176" bestFit="1" customWidth="1"/>
    <col min="4" max="4" width="14.33203125" style="176" bestFit="1" customWidth="1"/>
    <col min="5" max="5" width="7.5" style="176" bestFit="1" customWidth="1"/>
    <col min="6" max="6" width="12.33203125" style="176" bestFit="1" customWidth="1"/>
    <col min="7" max="7" width="9" style="176" bestFit="1" customWidth="1"/>
    <col min="8" max="8" width="7.83203125" style="176" bestFit="1" customWidth="1"/>
    <col min="9" max="9" width="9" style="176" bestFit="1" customWidth="1"/>
    <col min="10" max="10" width="6.83203125" style="176" bestFit="1" customWidth="1"/>
    <col min="11" max="80" width="12.5" style="176" customWidth="1"/>
    <col min="81" max="16384" width="12.5" style="176"/>
  </cols>
  <sheetData>
    <row r="1" spans="2:13" ht="15" customHeight="1" thickBot="1" x14ac:dyDescent="0.2"/>
    <row r="2" spans="2:13" ht="15.75" customHeight="1" thickBot="1" x14ac:dyDescent="0.2">
      <c r="B2" s="231" t="s">
        <v>91</v>
      </c>
      <c r="C2" s="216"/>
      <c r="D2" s="216"/>
      <c r="E2" s="216"/>
      <c r="F2" s="216"/>
      <c r="G2" s="216"/>
      <c r="H2" s="216"/>
      <c r="I2" s="216"/>
      <c r="J2" s="217"/>
      <c r="K2" s="26"/>
    </row>
    <row r="3" spans="2:13" ht="30" customHeight="1" x14ac:dyDescent="0.15">
      <c r="B3" s="27" t="s">
        <v>92</v>
      </c>
      <c r="C3" s="182" t="s">
        <v>93</v>
      </c>
      <c r="D3" s="182" t="s">
        <v>94</v>
      </c>
      <c r="E3" s="182" t="s">
        <v>95</v>
      </c>
      <c r="F3" s="182" t="s">
        <v>96</v>
      </c>
      <c r="G3" s="232" t="s">
        <v>97</v>
      </c>
      <c r="H3" s="228"/>
      <c r="I3" s="233" t="s">
        <v>50</v>
      </c>
      <c r="J3" s="234"/>
      <c r="K3" s="26"/>
    </row>
    <row r="4" spans="2:13" ht="15" customHeight="1" x14ac:dyDescent="0.15">
      <c r="B4" s="153">
        <v>44197</v>
      </c>
      <c r="C4" s="154">
        <f>'2021'!C4+'2021'!M4+'2021'!W4+'2021'!C22+'2021'!M22+'2021'!W22+'2021'!C40+'2021'!M40+'2021'!W40</f>
        <v>8645.5499999999993</v>
      </c>
      <c r="D4" s="155">
        <f>'2021'!D4+'2021'!N4+'2021'!X4+'2021'!D22+'2021'!N22+'2021'!X22+'2021'!D40+'2021'!N40+'2021'!X40</f>
        <v>200</v>
      </c>
      <c r="E4" s="28">
        <f>IF(C4&gt;0,IF((C17+D4)&gt;0,((C4)-(C17+D4))/(C17+D4),((C4)-($C$17+D4))/($C$17+D4)),0)</f>
        <v>1.7123529411764621E-2</v>
      </c>
      <c r="F4" s="28">
        <f>IF(E4&lt;&gt;0,(1+E4)*(1)-1,0)</f>
        <v>1.7123529411764649E-2</v>
      </c>
      <c r="G4" s="156">
        <f>IF(C4&lt;&gt;0,C4-C17-D4,0)</f>
        <v>145.54999999999927</v>
      </c>
      <c r="H4" s="28">
        <f t="shared" ref="H4:H15" si="0">IFERROR(G4/(C4-D4),0)</f>
        <v>1.7233927926541111E-2</v>
      </c>
      <c r="I4" s="179">
        <f>IF(C4&lt;&gt;0,SUM($G4),0)</f>
        <v>145.54999999999927</v>
      </c>
      <c r="J4" s="29">
        <f t="shared" ref="J4:J15" si="1">IF(C4&lt;&gt;0,IFERROR(I4/(C4-D4),0),0)</f>
        <v>1.7233927926541111E-2</v>
      </c>
      <c r="K4" s="30"/>
    </row>
    <row r="5" spans="2:13" ht="15" customHeight="1" x14ac:dyDescent="0.15">
      <c r="B5" s="153">
        <v>44228</v>
      </c>
      <c r="C5" s="154">
        <f>'2021'!C5+'2021'!M5+'2021'!W5+'2021'!C23+'2021'!M23+'2021'!W23+'2021'!C41+'2021'!M41+'2021'!W41</f>
        <v>8852.4600000000009</v>
      </c>
      <c r="D5" s="155">
        <f>'2021'!D5+'2021'!N5+'2021'!X5+'2021'!D23+'2021'!N23+'2021'!X23+'2021'!D41+'2021'!N41+'2021'!X41</f>
        <v>200</v>
      </c>
      <c r="E5" s="28">
        <f t="shared" ref="E5:E15" si="2">IF(C5&gt;0,IF(C4&gt;0,((C5)-(C4+D5))/(C4+D5),((C5)-($C$17+D5))/($C$17+D5)),0)</f>
        <v>7.8118375906548198E-4</v>
      </c>
      <c r="F5" s="28">
        <f t="shared" ref="F5:F15" si="3">IF(E5&lt;&gt;0,IF(F4&lt;&gt;0,(1+E5)*(F4+1)-1,E5),0)</f>
        <v>1.7918089793904413E-2</v>
      </c>
      <c r="G5" s="156">
        <f t="shared" ref="G5:G14" si="4">IF(C5&lt;&gt;0,IF(C4&lt;&gt;0,C5-C4-D5,C5-$C$17-D5),0)</f>
        <v>6.9100000000016735</v>
      </c>
      <c r="H5" s="28">
        <f t="shared" si="0"/>
        <v>7.9861680955493268E-4</v>
      </c>
      <c r="I5" s="179">
        <f>IF(C5&lt;&gt;0,SUM($G$4:$G5),0)</f>
        <v>152.46000000000095</v>
      </c>
      <c r="J5" s="29">
        <f t="shared" si="1"/>
        <v>1.7620422400103662E-2</v>
      </c>
      <c r="K5" s="30"/>
      <c r="L5" s="38"/>
      <c r="M5" s="38"/>
    </row>
    <row r="6" spans="2:13" ht="15" customHeight="1" x14ac:dyDescent="0.15">
      <c r="B6" s="153">
        <v>44256</v>
      </c>
      <c r="C6" s="154">
        <f>'2021'!C6+'2021'!M6+'2021'!W6+'2021'!C24+'2021'!M24+'2021'!W24+'2021'!C42+'2021'!M42+'2021'!W42</f>
        <v>8960.5</v>
      </c>
      <c r="D6" s="155">
        <f>'2021'!D6+'2021'!N6+'2021'!X6+'2021'!D24+'2021'!N24+'2021'!X24+'2021'!D42+'2021'!N42+'2021'!X42</f>
        <v>200</v>
      </c>
      <c r="E6" s="28">
        <f t="shared" si="2"/>
        <v>-1.0158564633260012E-2</v>
      </c>
      <c r="F6" s="28">
        <f t="shared" si="3"/>
        <v>7.5775030873683757E-3</v>
      </c>
      <c r="G6" s="156">
        <f t="shared" si="4"/>
        <v>-91.960000000000946</v>
      </c>
      <c r="H6" s="28">
        <f t="shared" si="0"/>
        <v>-1.0497117744421089E-2</v>
      </c>
      <c r="I6" s="179">
        <f>IF(C6&lt;&gt;0,SUM($G$4:$G6),0)</f>
        <v>60.5</v>
      </c>
      <c r="J6" s="29">
        <f t="shared" si="1"/>
        <v>6.9059985160664344E-3</v>
      </c>
      <c r="K6" s="30"/>
    </row>
    <row r="7" spans="2:13" ht="15" customHeight="1" x14ac:dyDescent="0.15">
      <c r="B7" s="153">
        <v>44287</v>
      </c>
      <c r="C7" s="154">
        <f>'2021'!C7+'2021'!M7+'2021'!W7+'2021'!C25+'2021'!M25+'2021'!W25+'2021'!C43+'2021'!M43+'2021'!W43</f>
        <v>9530.58</v>
      </c>
      <c r="D7" s="155">
        <f>'2021'!D7+'2021'!N7+'2021'!X7+'2021'!D25+'2021'!N25+'2021'!X25+'2021'!D43+'2021'!N43+'2021'!X43</f>
        <v>350</v>
      </c>
      <c r="E7" s="28">
        <f t="shared" si="2"/>
        <v>2.3637828258417908E-2</v>
      </c>
      <c r="F7" s="28">
        <f t="shared" si="3"/>
        <v>3.1394447062393249E-2</v>
      </c>
      <c r="G7" s="156">
        <f t="shared" si="4"/>
        <v>220.07999999999993</v>
      </c>
      <c r="H7" s="28">
        <f t="shared" si="0"/>
        <v>2.3972341616760588E-2</v>
      </c>
      <c r="I7" s="179">
        <f>IF(C7&lt;&gt;0,SUM($G$4:$G7),0)</f>
        <v>280.57999999999993</v>
      </c>
      <c r="J7" s="29">
        <f t="shared" si="1"/>
        <v>3.0562339198612717E-2</v>
      </c>
      <c r="K7" s="30"/>
    </row>
    <row r="8" spans="2:13" ht="15" customHeight="1" x14ac:dyDescent="0.15">
      <c r="B8" s="153">
        <v>44317</v>
      </c>
      <c r="C8" s="154">
        <f>'2021'!C8+'2021'!M8+'2021'!W8+'2021'!C26+'2021'!M26+'2021'!W26+'2021'!C44+'2021'!M44+'2021'!W44</f>
        <v>9795.9700000000012</v>
      </c>
      <c r="D8" s="155">
        <f>'2021'!D8+'2021'!N8+'2021'!X8+'2021'!D26+'2021'!N26+'2021'!X26+'2021'!D44+'2021'!N44+'2021'!X44</f>
        <v>200</v>
      </c>
      <c r="E8" s="28">
        <f t="shared" si="2"/>
        <v>6.7200516310437029E-3</v>
      </c>
      <c r="F8" s="28">
        <f t="shared" si="3"/>
        <v>3.8325470998624267E-2</v>
      </c>
      <c r="G8" s="156">
        <f t="shared" si="4"/>
        <v>65.390000000001237</v>
      </c>
      <c r="H8" s="28">
        <f t="shared" si="0"/>
        <v>6.8143189276332911E-3</v>
      </c>
      <c r="I8" s="179">
        <f>IF(C8&lt;&gt;0,SUM($G$4:$G8),0)</f>
        <v>345.97000000000116</v>
      </c>
      <c r="J8" s="29">
        <f t="shared" si="1"/>
        <v>3.6053676699698008E-2</v>
      </c>
      <c r="K8" s="30"/>
    </row>
    <row r="9" spans="2:13" ht="15" customHeight="1" x14ac:dyDescent="0.15">
      <c r="B9" s="153">
        <v>44348</v>
      </c>
      <c r="C9" s="154">
        <f>'2021'!C9+'2021'!M9+'2021'!W9+'2021'!C27+'2021'!M27+'2021'!W27+'2021'!C45+'2021'!M45+'2021'!W45</f>
        <v>9743.08</v>
      </c>
      <c r="D9" s="155">
        <f>'2021'!D9+'2021'!N9+'2021'!X9+'2021'!D27+'2021'!N27+'2021'!X27+'2021'!D45+'2021'!N45+'2021'!X45</f>
        <v>0</v>
      </c>
      <c r="E9" s="28">
        <f t="shared" si="2"/>
        <v>-5.3991590419326758E-3</v>
      </c>
      <c r="F9" s="28">
        <f t="shared" si="3"/>
        <v>3.2719386643413007E-2</v>
      </c>
      <c r="G9" s="156">
        <f t="shared" si="4"/>
        <v>-52.890000000001237</v>
      </c>
      <c r="H9" s="28">
        <f t="shared" si="0"/>
        <v>-5.4284682051262264E-3</v>
      </c>
      <c r="I9" s="179">
        <f>IF(C9&lt;&gt;0,SUM($G$4:$G9),0)</f>
        <v>293.07999999999993</v>
      </c>
      <c r="J9" s="29">
        <f t="shared" si="1"/>
        <v>3.0080836860623121E-2</v>
      </c>
      <c r="K9" s="30"/>
    </row>
    <row r="10" spans="2:13" ht="15" customHeight="1" x14ac:dyDescent="0.15">
      <c r="B10" s="153">
        <v>44378</v>
      </c>
      <c r="C10" s="154">
        <f>'2021'!C10+'2021'!M10+'2021'!W10+'2021'!C28+'2021'!M28+'2021'!W28+'2021'!C46+'2021'!M46+'2021'!W46</f>
        <v>0</v>
      </c>
      <c r="D10" s="155">
        <f>'2021'!D10+'2021'!N10+'2021'!X10+'2021'!D28+'2021'!N28+'2021'!X28+'2021'!D46+'2021'!N46+'2021'!X46</f>
        <v>0</v>
      </c>
      <c r="E10" s="28">
        <f t="shared" si="2"/>
        <v>0</v>
      </c>
      <c r="F10" s="28">
        <f t="shared" si="3"/>
        <v>0</v>
      </c>
      <c r="G10" s="156">
        <f t="shared" si="4"/>
        <v>0</v>
      </c>
      <c r="H10" s="28">
        <f t="shared" si="0"/>
        <v>0</v>
      </c>
      <c r="I10" s="179">
        <f>IF(C10&lt;&gt;0,SUM($G$4:$G10),0)</f>
        <v>0</v>
      </c>
      <c r="J10" s="29">
        <f t="shared" si="1"/>
        <v>0</v>
      </c>
      <c r="K10" s="30"/>
    </row>
    <row r="11" spans="2:13" ht="15" customHeight="1" x14ac:dyDescent="0.15">
      <c r="B11" s="153">
        <v>44409</v>
      </c>
      <c r="C11" s="154">
        <f>'2021'!C11+'2021'!M11+'2021'!W11+'2021'!C29+'2021'!M29+'2021'!W29+'2021'!C47+'2021'!M47+'2021'!W47</f>
        <v>0</v>
      </c>
      <c r="D11" s="155">
        <f>'2021'!D11+'2021'!N11+'2021'!X11+'2021'!D29+'2021'!N29+'2021'!X29+'2021'!D47+'2021'!N47+'2021'!X47</f>
        <v>0</v>
      </c>
      <c r="E11" s="28">
        <f t="shared" si="2"/>
        <v>0</v>
      </c>
      <c r="F11" s="28">
        <f t="shared" si="3"/>
        <v>0</v>
      </c>
      <c r="G11" s="156">
        <f t="shared" si="4"/>
        <v>0</v>
      </c>
      <c r="H11" s="28">
        <f t="shared" si="0"/>
        <v>0</v>
      </c>
      <c r="I11" s="179">
        <f>IF(C11&lt;&gt;0,SUM($G$4:$G11),0)</f>
        <v>0</v>
      </c>
      <c r="J11" s="29">
        <f t="shared" si="1"/>
        <v>0</v>
      </c>
      <c r="K11" s="30"/>
    </row>
    <row r="12" spans="2:13" ht="15" customHeight="1" x14ac:dyDescent="0.15">
      <c r="B12" s="153">
        <v>44440</v>
      </c>
      <c r="C12" s="154">
        <f>'2021'!C12+'2021'!M12+'2021'!W12+'2021'!C30+'2021'!M30+'2021'!W30+'2021'!C48+'2021'!M48+'2021'!W48</f>
        <v>0</v>
      </c>
      <c r="D12" s="155">
        <f>'2021'!D12+'2021'!N12+'2021'!X12+'2021'!D30+'2021'!N30+'2021'!X30+'2021'!D48+'2021'!N48+'2021'!X48</f>
        <v>0</v>
      </c>
      <c r="E12" s="28">
        <f t="shared" si="2"/>
        <v>0</v>
      </c>
      <c r="F12" s="28">
        <f t="shared" si="3"/>
        <v>0</v>
      </c>
      <c r="G12" s="156">
        <f t="shared" si="4"/>
        <v>0</v>
      </c>
      <c r="H12" s="28">
        <f t="shared" si="0"/>
        <v>0</v>
      </c>
      <c r="I12" s="179">
        <f>IF(C12&lt;&gt;0,SUM($G$4:$G12),0)</f>
        <v>0</v>
      </c>
      <c r="J12" s="29">
        <f t="shared" si="1"/>
        <v>0</v>
      </c>
      <c r="K12" s="30"/>
    </row>
    <row r="13" spans="2:13" ht="15" customHeight="1" x14ac:dyDescent="0.15">
      <c r="B13" s="153">
        <v>44470</v>
      </c>
      <c r="C13" s="154">
        <f>'2021'!C13+'2021'!M13+'2021'!W13+'2021'!C31+'2021'!M31+'2021'!W31+'2021'!C49+'2021'!M49+'2021'!W49</f>
        <v>0</v>
      </c>
      <c r="D13" s="155">
        <f>'2021'!D13+'2021'!N13+'2021'!X13+'2021'!D31+'2021'!N31+'2021'!X31+'2021'!D49+'2021'!N49+'2021'!X49</f>
        <v>0</v>
      </c>
      <c r="E13" s="28">
        <f t="shared" si="2"/>
        <v>0</v>
      </c>
      <c r="F13" s="28">
        <f t="shared" si="3"/>
        <v>0</v>
      </c>
      <c r="G13" s="156">
        <f t="shared" si="4"/>
        <v>0</v>
      </c>
      <c r="H13" s="28">
        <f t="shared" si="0"/>
        <v>0</v>
      </c>
      <c r="I13" s="179">
        <f>IF(C13&lt;&gt;0,SUM($G$4:$G13),0)</f>
        <v>0</v>
      </c>
      <c r="J13" s="29">
        <f t="shared" si="1"/>
        <v>0</v>
      </c>
      <c r="K13" s="30"/>
    </row>
    <row r="14" spans="2:13" ht="15" customHeight="1" x14ac:dyDescent="0.15">
      <c r="B14" s="153">
        <v>44501</v>
      </c>
      <c r="C14" s="154">
        <f>'2021'!C14+'2021'!M14+'2021'!W14+'2021'!C32+'2021'!M32+'2021'!W32+'2021'!C50+'2021'!M50+'2021'!W50</f>
        <v>0</v>
      </c>
      <c r="D14" s="155">
        <f>'2021'!D14+'2021'!N14+'2021'!X14+'2021'!D32+'2021'!N32+'2021'!X32+'2021'!D50+'2021'!N50+'2021'!X50</f>
        <v>0</v>
      </c>
      <c r="E14" s="28">
        <f t="shared" si="2"/>
        <v>0</v>
      </c>
      <c r="F14" s="28">
        <f t="shared" si="3"/>
        <v>0</v>
      </c>
      <c r="G14" s="156">
        <f t="shared" si="4"/>
        <v>0</v>
      </c>
      <c r="H14" s="28">
        <f t="shared" si="0"/>
        <v>0</v>
      </c>
      <c r="I14" s="179">
        <f>IF(C14&lt;&gt;0,SUM($G$4:$G14),0)</f>
        <v>0</v>
      </c>
      <c r="J14" s="29">
        <f t="shared" si="1"/>
        <v>0</v>
      </c>
      <c r="K14" s="30"/>
    </row>
    <row r="15" spans="2:13" ht="15.75" customHeight="1" thickBot="1" x14ac:dyDescent="0.2">
      <c r="B15" s="157">
        <v>44531</v>
      </c>
      <c r="C15" s="158">
        <f>'2021'!C15+'2021'!M15+'2021'!W15+'2021'!C33+'2021'!M33+'2021'!W33+'2021'!C51+'2021'!M51+'2021'!W51</f>
        <v>0</v>
      </c>
      <c r="D15" s="159">
        <f>'2021'!D15+'2021'!N15+'2021'!X15+'2021'!D33+'2021'!N33+'2021'!X33+'2021'!D51+'2021'!N51+'2021'!X51</f>
        <v>0</v>
      </c>
      <c r="E15" s="34">
        <f t="shared" si="2"/>
        <v>0</v>
      </c>
      <c r="F15" s="39">
        <f t="shared" si="3"/>
        <v>0</v>
      </c>
      <c r="G15" s="160">
        <f>IF(C15&lt;&gt;0,IF(C14&lt;&gt;0,C15-C14-D15,C15-$C$17-D14),0)</f>
        <v>0</v>
      </c>
      <c r="H15" s="34">
        <f t="shared" si="0"/>
        <v>0</v>
      </c>
      <c r="I15" s="160">
        <f>IF(C15&lt;&gt;0,SUM($G$4:$G15),0)</f>
        <v>0</v>
      </c>
      <c r="J15" s="40">
        <f t="shared" si="1"/>
        <v>0</v>
      </c>
      <c r="K15" s="30"/>
    </row>
    <row r="17" spans="2:11" ht="15" customHeight="1" x14ac:dyDescent="0.15">
      <c r="B17" s="178" t="s">
        <v>98</v>
      </c>
      <c r="C17" s="161">
        <f>'2021'!C17+'2021'!M17+'2021'!W17+'2021'!W35+'2021'!M35+'2021'!C35+'2021'!C53+'2021'!M53</f>
        <v>8300</v>
      </c>
      <c r="D17" s="235">
        <f>C17+C18</f>
        <v>9450</v>
      </c>
      <c r="F17" s="36">
        <f>SUM(E4:E15)</f>
        <v>3.2704869385099027E-2</v>
      </c>
      <c r="G17" s="162">
        <f>SUM(G4:G15)</f>
        <v>293.07999999999993</v>
      </c>
      <c r="H17" s="162">
        <f>G17/COUNTIF(C4:C15, "&gt;0")</f>
        <v>48.846666666666657</v>
      </c>
    </row>
    <row r="18" spans="2:11" ht="15" customHeight="1" x14ac:dyDescent="0.15">
      <c r="B18" s="178" t="s">
        <v>74</v>
      </c>
      <c r="C18" s="183">
        <f>SUM(D4:D15)</f>
        <v>1150</v>
      </c>
      <c r="D18" s="207"/>
      <c r="G18" s="38" t="s">
        <v>99</v>
      </c>
      <c r="H18" s="38" t="s">
        <v>62</v>
      </c>
      <c r="K18" s="116"/>
    </row>
    <row r="20" spans="2:11" x14ac:dyDescent="0.15">
      <c r="G20" s="116">
        <f>G17*0.19</f>
        <v>55.685199999999988</v>
      </c>
    </row>
    <row r="23" spans="2:11" x14ac:dyDescent="0.15">
      <c r="F23" s="163"/>
    </row>
    <row r="24" spans="2:11" x14ac:dyDescent="0.15">
      <c r="G24" s="163"/>
    </row>
    <row r="1002" spans="6:9" x14ac:dyDescent="0.15">
      <c r="I1002" s="164"/>
    </row>
    <row r="1005" spans="6:9" x14ac:dyDescent="0.15">
      <c r="F1005" s="164"/>
    </row>
  </sheetData>
  <mergeCells count="4">
    <mergeCell ref="B2:J2"/>
    <mergeCell ref="G3:H3"/>
    <mergeCell ref="I3:J3"/>
    <mergeCell ref="D17:D18"/>
  </mergeCells>
  <conditionalFormatting sqref="B4:B15">
    <cfRule type="cellIs" dxfId="38" priority="1" operator="equal">
      <formula>#REF!</formula>
    </cfRule>
  </conditionalFormatting>
  <conditionalFormatting sqref="E4:J15">
    <cfRule type="cellIs" dxfId="37" priority="2" operator="greaterThanOrEqual">
      <formula>0</formula>
    </cfRule>
    <cfRule type="cellIs" dxfId="36" priority="3" operator="lessThan">
      <formula>0</formula>
    </cfRule>
  </conditionalFormatting>
  <conditionalFormatting sqref="G4:G15 I4:I15">
    <cfRule type="cellIs" dxfId="35" priority="4" operator="greaterThan">
      <formula>0</formula>
    </cfRule>
    <cfRule type="cellIs" dxfId="34" priority="5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rgb="FF4A86E8"/>
    <outlinePr summaryBelow="0" summaryRight="0"/>
  </sheetPr>
  <dimension ref="B2:AE211"/>
  <sheetViews>
    <sheetView zoomScaleNormal="100" workbookViewId="0">
      <selection activeCell="E27" sqref="E27"/>
    </sheetView>
  </sheetViews>
  <sheetFormatPr baseColWidth="10" defaultColWidth="12.1640625" defaultRowHeight="14" x14ac:dyDescent="0.15"/>
  <cols>
    <col min="1" max="1" width="4.5" style="176" customWidth="1"/>
    <col min="2" max="2" width="20" style="176" bestFit="1" customWidth="1"/>
    <col min="3" max="3" width="11.5" style="176" bestFit="1" customWidth="1"/>
    <col min="4" max="4" width="14.33203125" style="176" bestFit="1" customWidth="1"/>
    <col min="5" max="5" width="7.5" style="176" bestFit="1" customWidth="1"/>
    <col min="6" max="6" width="11.83203125" style="176" bestFit="1" customWidth="1"/>
    <col min="7" max="7" width="9" style="176" bestFit="1" customWidth="1"/>
    <col min="8" max="8" width="7.5" style="176" bestFit="1" customWidth="1"/>
    <col min="9" max="9" width="9" style="176" bestFit="1" customWidth="1"/>
    <col min="10" max="10" width="8" style="176" bestFit="1" customWidth="1"/>
    <col min="11" max="11" width="3.1640625" style="176" customWidth="1"/>
    <col min="12" max="12" width="20" style="176" bestFit="1" customWidth="1"/>
    <col min="13" max="13" width="11.5" style="176" bestFit="1" customWidth="1"/>
    <col min="14" max="14" width="14.33203125" style="176" bestFit="1" customWidth="1"/>
    <col min="15" max="15" width="8.6640625" style="176" bestFit="1" customWidth="1"/>
    <col min="16" max="16" width="11.83203125" style="176" bestFit="1" customWidth="1"/>
    <col min="17" max="17" width="8.5" style="176" bestFit="1" customWidth="1"/>
    <col min="18" max="18" width="9.1640625" style="176" bestFit="1" customWidth="1"/>
    <col min="19" max="19" width="8.5" style="176" bestFit="1" customWidth="1"/>
    <col min="20" max="20" width="9.1640625" style="176" bestFit="1" customWidth="1"/>
    <col min="21" max="21" width="3.6640625" style="176" customWidth="1"/>
    <col min="22" max="22" width="20" style="176" bestFit="1" customWidth="1"/>
    <col min="23" max="23" width="11.5" style="176" bestFit="1" customWidth="1"/>
    <col min="24" max="24" width="14.33203125" style="176" bestFit="1" customWidth="1"/>
    <col min="25" max="25" width="8.6640625" style="176" bestFit="1" customWidth="1"/>
    <col min="26" max="26" width="11.83203125" style="176" bestFit="1" customWidth="1"/>
    <col min="27" max="27" width="9.6640625" style="176" bestFit="1" customWidth="1"/>
    <col min="28" max="28" width="9.1640625" style="176" bestFit="1" customWidth="1"/>
    <col min="29" max="29" width="9.6640625" style="176" bestFit="1" customWidth="1"/>
    <col min="30" max="30" width="9.1640625" style="176" bestFit="1" customWidth="1"/>
    <col min="31" max="100" width="12.1640625" style="176" customWidth="1"/>
    <col min="101" max="16384" width="12.1640625" style="176"/>
  </cols>
  <sheetData>
    <row r="2" spans="2:31" ht="15" customHeight="1" x14ac:dyDescent="0.15">
      <c r="B2" s="231" t="s">
        <v>1</v>
      </c>
      <c r="C2" s="216"/>
      <c r="D2" s="216"/>
      <c r="E2" s="216"/>
      <c r="F2" s="216"/>
      <c r="G2" s="216"/>
      <c r="H2" s="216"/>
      <c r="I2" s="216"/>
      <c r="J2" s="217"/>
      <c r="K2" s="26"/>
      <c r="L2" s="231" t="s">
        <v>15</v>
      </c>
      <c r="M2" s="216"/>
      <c r="N2" s="216"/>
      <c r="O2" s="216"/>
      <c r="P2" s="216"/>
      <c r="Q2" s="216"/>
      <c r="R2" s="216"/>
      <c r="S2" s="216"/>
      <c r="T2" s="217"/>
      <c r="U2" s="26"/>
      <c r="V2" s="231" t="s">
        <v>5</v>
      </c>
      <c r="W2" s="216"/>
      <c r="X2" s="216"/>
      <c r="Y2" s="216"/>
      <c r="Z2" s="216"/>
      <c r="AA2" s="216"/>
      <c r="AB2" s="216"/>
      <c r="AC2" s="216"/>
      <c r="AD2" s="217"/>
      <c r="AE2" s="26"/>
    </row>
    <row r="3" spans="2:31" ht="45" customHeight="1" x14ac:dyDescent="0.15">
      <c r="B3" s="27" t="s">
        <v>92</v>
      </c>
      <c r="C3" s="182" t="s">
        <v>93</v>
      </c>
      <c r="D3" s="182" t="s">
        <v>94</v>
      </c>
      <c r="E3" s="182" t="s">
        <v>95</v>
      </c>
      <c r="F3" s="182" t="s">
        <v>96</v>
      </c>
      <c r="G3" s="232" t="s">
        <v>97</v>
      </c>
      <c r="H3" s="228"/>
      <c r="I3" s="233" t="s">
        <v>50</v>
      </c>
      <c r="J3" s="234"/>
      <c r="K3" s="26"/>
      <c r="L3" s="27" t="s">
        <v>92</v>
      </c>
      <c r="M3" s="182" t="s">
        <v>93</v>
      </c>
      <c r="N3" s="182" t="s">
        <v>94</v>
      </c>
      <c r="O3" s="182" t="s">
        <v>95</v>
      </c>
      <c r="P3" s="182" t="s">
        <v>96</v>
      </c>
      <c r="Q3" s="232" t="s">
        <v>97</v>
      </c>
      <c r="R3" s="228"/>
      <c r="S3" s="233" t="s">
        <v>50</v>
      </c>
      <c r="T3" s="234"/>
      <c r="U3" s="26"/>
      <c r="V3" s="27" t="s">
        <v>92</v>
      </c>
      <c r="W3" s="182" t="s">
        <v>93</v>
      </c>
      <c r="X3" s="182" t="s">
        <v>94</v>
      </c>
      <c r="Y3" s="182" t="s">
        <v>95</v>
      </c>
      <c r="Z3" s="182" t="s">
        <v>96</v>
      </c>
      <c r="AA3" s="232" t="s">
        <v>97</v>
      </c>
      <c r="AB3" s="228"/>
      <c r="AC3" s="233" t="s">
        <v>50</v>
      </c>
      <c r="AD3" s="234"/>
      <c r="AE3" s="26"/>
    </row>
    <row r="4" spans="2:31" ht="15" customHeight="1" x14ac:dyDescent="0.15">
      <c r="B4" s="153">
        <v>44197</v>
      </c>
      <c r="C4" s="154">
        <v>1039.3499999999999</v>
      </c>
      <c r="D4" s="155"/>
      <c r="E4" s="28">
        <f>IF(C4&gt;0,IF((C17+D4)&gt;0,((C4)-(C17+D4))/(C17+D4),((C4)-($C$17+D4))/($C$17+D4)),0)</f>
        <v>3.9349999999999906E-2</v>
      </c>
      <c r="F4" s="28">
        <f>IF(E4&lt;&gt;0,(1+E4)*(1)-1,0)</f>
        <v>3.9349999999999996E-2</v>
      </c>
      <c r="G4" s="156">
        <f>IF(C4&lt;&gt;0,C4-$C$17-D4,0)</f>
        <v>39.349999999999909</v>
      </c>
      <c r="H4" s="28">
        <f t="shared" ref="H4:H15" si="0">IFERROR(G4/(C4-D4),0)</f>
        <v>3.7860201087217889E-2</v>
      </c>
      <c r="I4" s="179">
        <f>IF(C4&lt;&gt;0,SUM($G4),0)</f>
        <v>39.349999999999909</v>
      </c>
      <c r="J4" s="29">
        <f t="shared" ref="J4:J15" si="1">IF(C4&lt;&gt;0,IFERROR(I4/(C4-D4),0),0)</f>
        <v>3.7860201087217889E-2</v>
      </c>
      <c r="K4" s="30"/>
      <c r="L4" s="153">
        <v>44197</v>
      </c>
      <c r="M4" s="154">
        <v>503.8</v>
      </c>
      <c r="N4" s="155"/>
      <c r="O4" s="28">
        <f>IF(M4&gt;0,IF((M17+N4)&gt;0,((M4)-(M17+N4))/(M17+N4),((M4)-($M$17+N4))/($M$17+N4)),0)</f>
        <v>7.6000000000000225E-3</v>
      </c>
      <c r="P4" s="28">
        <f>IF(O4&lt;&gt;0,(1+O4)*(1)-1,0)</f>
        <v>7.6000000000000512E-3</v>
      </c>
      <c r="Q4" s="156">
        <f>IF(M4&lt;&gt;0,M4-M17-N4,0)</f>
        <v>3.8000000000000114</v>
      </c>
      <c r="R4" s="28">
        <f t="shared" ref="R4:R15" si="2">IFERROR(Q4/(M4-N4),0)</f>
        <v>7.5426756649464299E-3</v>
      </c>
      <c r="S4" s="179">
        <f>IF(M4&lt;&gt;0,SUM($Q4),0)</f>
        <v>3.8000000000000114</v>
      </c>
      <c r="T4" s="29">
        <f t="shared" ref="T4:T15" si="3">IF(M4&lt;&gt;0,IFERROR(S4/(M4-N4),0),0)</f>
        <v>7.5426756649464299E-3</v>
      </c>
      <c r="U4" s="30"/>
      <c r="V4" s="153">
        <v>44197</v>
      </c>
      <c r="W4" s="154">
        <v>5544.45</v>
      </c>
      <c r="X4" s="155">
        <v>100</v>
      </c>
      <c r="Y4" s="28">
        <f>IF(W4&gt;0,IF((W17+X4)&gt;0,((W4)-(W17+X4))/(W17+X4),((W4)-($W$17+X4))/($W$17+X4)),0)</f>
        <v>8.0818181818181484E-3</v>
      </c>
      <c r="Z4" s="28">
        <f>IF(Y4&lt;&gt;0,(1+Y4)*(1)-1,0)</f>
        <v>8.081818181818079E-3</v>
      </c>
      <c r="AA4" s="156">
        <f>IF(W4&lt;&gt;0,W4-W17-X4,0)</f>
        <v>44.449999999999818</v>
      </c>
      <c r="AB4" s="28">
        <f t="shared" ref="AB4:AB15" si="4">IFERROR(AA4/(W4-X4),0)</f>
        <v>8.1642773833903916E-3</v>
      </c>
      <c r="AC4" s="179">
        <f>IF(W4&lt;&gt;0,SUM($AA4),0)</f>
        <v>44.449999999999818</v>
      </c>
      <c r="AD4" s="29">
        <f t="shared" ref="AD4:AD15" si="5">IF(W4&lt;&gt;0,IFERROR(AC4/(W4-X4),0),0)</f>
        <v>8.1642773833903916E-3</v>
      </c>
      <c r="AE4" s="30"/>
    </row>
    <row r="5" spans="2:31" ht="15" customHeight="1" x14ac:dyDescent="0.15">
      <c r="B5" s="153">
        <v>44228</v>
      </c>
      <c r="C5" s="154">
        <v>1152.8599999999999</v>
      </c>
      <c r="D5" s="155">
        <v>100</v>
      </c>
      <c r="E5" s="28">
        <f t="shared" ref="E5:E15" si="6">IF(C5&gt;0,IF(C4&gt;0,((C5)-(C4+D5))/(C4+D5),((C5)-($C$17+D5))/($C$17+D5)),0)</f>
        <v>1.1857638127002232E-2</v>
      </c>
      <c r="F5" s="28">
        <f t="shared" ref="F5:F15" si="7">IF(E5&lt;&gt;0,IF(F4&lt;&gt;0,(1+E5)*(F4+1)-1,E5),0)</f>
        <v>5.1674236187299716E-2</v>
      </c>
      <c r="G5" s="156">
        <f t="shared" ref="G5:G14" si="8">IF(C5&lt;&gt;0,IF(C4&lt;&gt;0,C5-C4-D5,C5-$C$17-D5),0)</f>
        <v>13.509999999999991</v>
      </c>
      <c r="H5" s="28">
        <f t="shared" si="0"/>
        <v>1.2831715517732645E-2</v>
      </c>
      <c r="I5" s="179">
        <f>IF(C5&lt;&gt;0,SUM($G$4:$G5),0)</f>
        <v>52.8599999999999</v>
      </c>
      <c r="J5" s="29">
        <f t="shared" si="1"/>
        <v>5.0206105275155198E-2</v>
      </c>
      <c r="K5" s="30"/>
      <c r="L5" s="153">
        <v>44228</v>
      </c>
      <c r="M5" s="154">
        <v>501.66</v>
      </c>
      <c r="N5" s="155"/>
      <c r="O5" s="28">
        <f t="shared" ref="O5:O15" si="9">IF(M5&gt;0,IF(M4&gt;0,((M5)-(M4+N5))/(M4+N5),((M5)-($M$17+N5))/($M$17+N5)),0)</f>
        <v>-4.247717348154002E-3</v>
      </c>
      <c r="P5" s="28">
        <f t="shared" ref="P5:P15" si="10">IF(O5&lt;&gt;0,IF(P4&lt;&gt;0,(1+O5)*(P4+1)-1,O5),0)</f>
        <v>3.3199999999999896E-3</v>
      </c>
      <c r="Q5" s="156">
        <f t="shared" ref="Q5:Q15" si="11">IF(M5&lt;&gt;0,IF(M4&lt;&gt;0,M5-M4-N5,M5-$M$17-N5),0)</f>
        <v>-2.1399999999999864</v>
      </c>
      <c r="R5" s="28">
        <f t="shared" si="2"/>
        <v>-4.2658374197663482E-3</v>
      </c>
      <c r="S5" s="179">
        <f>IF(M5&lt;&gt;0,SUM($Q$4:$Q5),0)</f>
        <v>1.660000000000025</v>
      </c>
      <c r="T5" s="29">
        <f t="shared" si="3"/>
        <v>3.3090140732767708E-3</v>
      </c>
      <c r="U5" s="30"/>
      <c r="V5" s="153">
        <v>44228</v>
      </c>
      <c r="W5" s="154">
        <v>5552.65</v>
      </c>
      <c r="X5" s="155"/>
      <c r="Y5" s="28">
        <f t="shared" ref="Y5:Y15" si="12">IF(W5&gt;0,IF(W4&gt;0,((W5)-(W4+X5))/(W4+X5),((W5)-($W$17+X5))/($W$17+X5)),0)</f>
        <v>1.4789564339113561E-3</v>
      </c>
      <c r="Z5" s="28">
        <f t="shared" ref="Z5:Z15" si="13">IF(Y5&lt;&gt;0,IF(Z4&lt;&gt;0,(1+Y5)*(Z4+1)-1,Y5),0)</f>
        <v>9.5727272727270663E-3</v>
      </c>
      <c r="AA5" s="156">
        <f t="shared" ref="AA5:AA15" si="14">IF(W5&lt;&gt;0,IF(W4&lt;&gt;0,W5-W4-X5,W5-$W$17-X5),0)</f>
        <v>8.1999999999998181</v>
      </c>
      <c r="AB5" s="28">
        <f t="shared" si="4"/>
        <v>1.4767723519400319E-3</v>
      </c>
      <c r="AC5" s="179">
        <f>IF(W5&lt;&gt;0,SUM($AA$4:$AA5),0)</f>
        <v>52.649999999999636</v>
      </c>
      <c r="AD5" s="29">
        <f t="shared" si="5"/>
        <v>9.4819590645907163E-3</v>
      </c>
      <c r="AE5" s="30"/>
    </row>
    <row r="6" spans="2:31" ht="15" customHeight="1" x14ac:dyDescent="0.15">
      <c r="B6" s="153">
        <v>44256</v>
      </c>
      <c r="C6" s="154">
        <v>1255.05</v>
      </c>
      <c r="D6" s="155">
        <v>100</v>
      </c>
      <c r="E6" s="28">
        <f t="shared" si="6"/>
        <v>1.7480005746851642E-3</v>
      </c>
      <c r="F6" s="28">
        <f t="shared" si="7"/>
        <v>5.3512563356536758E-2</v>
      </c>
      <c r="G6" s="156">
        <f t="shared" si="8"/>
        <v>2.1900000000000546</v>
      </c>
      <c r="H6" s="28">
        <f t="shared" si="0"/>
        <v>1.8960218172373964E-3</v>
      </c>
      <c r="I6" s="179">
        <f>IF(C6&lt;&gt;0,SUM($G$4:$G6),0)</f>
        <v>55.049999999999955</v>
      </c>
      <c r="J6" s="29">
        <f t="shared" si="1"/>
        <v>4.7660274446993597E-2</v>
      </c>
      <c r="K6" s="30"/>
      <c r="L6" s="153">
        <v>44256</v>
      </c>
      <c r="M6" s="154">
        <v>530.79999999999995</v>
      </c>
      <c r="N6" s="155"/>
      <c r="O6" s="28">
        <f t="shared" si="9"/>
        <v>5.8087150659809288E-2</v>
      </c>
      <c r="P6" s="28">
        <f t="shared" si="10"/>
        <v>6.1599999999999877E-2</v>
      </c>
      <c r="Q6" s="156">
        <f t="shared" si="11"/>
        <v>29.13999999999993</v>
      </c>
      <c r="R6" s="28">
        <f t="shared" si="2"/>
        <v>5.4898266767143808E-2</v>
      </c>
      <c r="S6" s="179">
        <f>IF(M6&lt;&gt;0,SUM($Q$4:$Q6),0)</f>
        <v>30.799999999999955</v>
      </c>
      <c r="T6" s="29">
        <f t="shared" si="3"/>
        <v>5.8025621703089593E-2</v>
      </c>
      <c r="U6" s="30"/>
      <c r="V6" s="153">
        <v>44256</v>
      </c>
      <c r="W6" s="154">
        <v>5395.61</v>
      </c>
      <c r="X6" s="155"/>
      <c r="Y6" s="28">
        <f t="shared" si="12"/>
        <v>-2.8281991481544842E-2</v>
      </c>
      <c r="Z6" s="28">
        <f t="shared" si="13"/>
        <v>-1.8980000000000219E-2</v>
      </c>
      <c r="AA6" s="156">
        <f t="shared" si="14"/>
        <v>-157.03999999999996</v>
      </c>
      <c r="AB6" s="28">
        <f t="shared" si="4"/>
        <v>-2.9105142884678466E-2</v>
      </c>
      <c r="AC6" s="179">
        <f>IF(W6&lt;&gt;0,SUM($AA$4:$AA6),0)</f>
        <v>-104.39000000000033</v>
      </c>
      <c r="AD6" s="29">
        <f t="shared" si="5"/>
        <v>-1.9347210046686165E-2</v>
      </c>
      <c r="AE6" s="30"/>
    </row>
    <row r="7" spans="2:31" ht="15" customHeight="1" x14ac:dyDescent="0.15">
      <c r="B7" s="153">
        <v>44287</v>
      </c>
      <c r="C7" s="154">
        <v>1294.93</v>
      </c>
      <c r="D7" s="155"/>
      <c r="E7" s="28">
        <f t="shared" si="6"/>
        <v>3.1775626469065066E-2</v>
      </c>
      <c r="F7" s="28">
        <f t="shared" si="7"/>
        <v>8.6988585050221445E-2</v>
      </c>
      <c r="G7" s="156">
        <f t="shared" si="8"/>
        <v>39.880000000000109</v>
      </c>
      <c r="H7" s="28">
        <f t="shared" si="0"/>
        <v>3.0797031499772271E-2</v>
      </c>
      <c r="I7" s="179">
        <f>IF(C7&lt;&gt;0,SUM($G$4:$G7),0)</f>
        <v>94.930000000000064</v>
      </c>
      <c r="J7" s="29">
        <f t="shared" si="1"/>
        <v>7.3308981952692476E-2</v>
      </c>
      <c r="K7" s="30"/>
      <c r="L7" s="153">
        <v>44287</v>
      </c>
      <c r="M7" s="154">
        <v>557.62</v>
      </c>
      <c r="N7" s="155"/>
      <c r="O7" s="28">
        <f t="shared" si="9"/>
        <v>5.0527505651846369E-2</v>
      </c>
      <c r="P7" s="28">
        <f t="shared" si="10"/>
        <v>0.11524000000000001</v>
      </c>
      <c r="Q7" s="156">
        <f t="shared" si="11"/>
        <v>26.82000000000005</v>
      </c>
      <c r="R7" s="28">
        <f t="shared" si="2"/>
        <v>4.8097270542663551E-2</v>
      </c>
      <c r="S7" s="179">
        <f>IF(M7&lt;&gt;0,SUM($Q$4:$Q7),0)</f>
        <v>57.620000000000005</v>
      </c>
      <c r="T7" s="29">
        <f t="shared" si="3"/>
        <v>0.10333201822029339</v>
      </c>
      <c r="U7" s="30"/>
      <c r="V7" s="153">
        <v>44287</v>
      </c>
      <c r="W7" s="154">
        <v>4966.49</v>
      </c>
      <c r="X7" s="155">
        <v>-500</v>
      </c>
      <c r="Y7" s="28">
        <f t="shared" si="12"/>
        <v>1.4478277477168344E-2</v>
      </c>
      <c r="Z7" s="28">
        <f t="shared" si="13"/>
        <v>-4.776520229348491E-3</v>
      </c>
      <c r="AA7" s="156">
        <f t="shared" si="14"/>
        <v>70.880000000000109</v>
      </c>
      <c r="AB7" s="28">
        <f t="shared" si="4"/>
        <v>1.2966272690519897E-2</v>
      </c>
      <c r="AC7" s="179">
        <f>IF(W7&lt;&gt;0,SUM($AA$4:$AA7),0)</f>
        <v>-33.510000000000218</v>
      </c>
      <c r="AD7" s="29">
        <f t="shared" si="5"/>
        <v>-6.1300761549001681E-3</v>
      </c>
      <c r="AE7" s="30"/>
    </row>
    <row r="8" spans="2:31" ht="15" customHeight="1" x14ac:dyDescent="0.15">
      <c r="B8" s="153">
        <v>44317</v>
      </c>
      <c r="C8" s="154">
        <v>1299.48</v>
      </c>
      <c r="D8" s="155"/>
      <c r="E8" s="28">
        <f t="shared" si="6"/>
        <v>3.5137034434293392E-3</v>
      </c>
      <c r="F8" s="28">
        <f t="shared" si="7"/>
        <v>9.0807940584480829E-2</v>
      </c>
      <c r="G8" s="156">
        <f t="shared" si="8"/>
        <v>4.5499999999999545</v>
      </c>
      <c r="H8" s="28">
        <f t="shared" si="0"/>
        <v>3.5014005602240546E-3</v>
      </c>
      <c r="I8" s="179">
        <f>IF(C8&lt;&gt;0,SUM($G$4:$G8),0)</f>
        <v>99.480000000000018</v>
      </c>
      <c r="J8" s="29">
        <f t="shared" si="1"/>
        <v>7.6553698402437906E-2</v>
      </c>
      <c r="K8" s="30"/>
      <c r="L8" s="153">
        <v>44317</v>
      </c>
      <c r="M8" s="154">
        <v>572.51</v>
      </c>
      <c r="N8" s="155"/>
      <c r="O8" s="28">
        <f t="shared" si="9"/>
        <v>2.6702772497399638E-2</v>
      </c>
      <c r="P8" s="28">
        <f t="shared" si="10"/>
        <v>0.14501999999999993</v>
      </c>
      <c r="Q8" s="156">
        <f t="shared" si="11"/>
        <v>14.889999999999986</v>
      </c>
      <c r="R8" s="28">
        <f t="shared" si="2"/>
        <v>2.6008279331365368E-2</v>
      </c>
      <c r="S8" s="179">
        <f>IF(M8&lt;&gt;0,SUM($Q$4:$Q8),0)</f>
        <v>72.509999999999991</v>
      </c>
      <c r="T8" s="29">
        <f t="shared" si="3"/>
        <v>0.12665280955791164</v>
      </c>
      <c r="U8" s="30"/>
      <c r="V8" s="153">
        <v>44317</v>
      </c>
      <c r="W8" s="154">
        <v>4967.2700000000004</v>
      </c>
      <c r="X8" s="155"/>
      <c r="Y8" s="28">
        <f t="shared" si="12"/>
        <v>1.5705256629947002E-4</v>
      </c>
      <c r="Z8" s="28">
        <f t="shared" si="13"/>
        <v>-4.6202178278089701E-3</v>
      </c>
      <c r="AA8" s="156">
        <f t="shared" si="14"/>
        <v>0.78000000000065484</v>
      </c>
      <c r="AB8" s="28">
        <f t="shared" si="4"/>
        <v>1.5702790466406191E-4</v>
      </c>
      <c r="AC8" s="179">
        <f>IF(W8&lt;&gt;0,SUM($AA$4:$AA8),0)</f>
        <v>-32.729999999999563</v>
      </c>
      <c r="AD8" s="29">
        <f t="shared" si="5"/>
        <v>-6.5891324610902087E-3</v>
      </c>
      <c r="AE8" s="30"/>
    </row>
    <row r="9" spans="2:31" ht="15" customHeight="1" x14ac:dyDescent="0.15">
      <c r="B9" s="153">
        <v>44348</v>
      </c>
      <c r="C9" s="154">
        <v>1303.02</v>
      </c>
      <c r="D9" s="155"/>
      <c r="E9" s="28">
        <f t="shared" si="6"/>
        <v>2.72416658971278E-3</v>
      </c>
      <c r="F9" s="28">
        <f t="shared" si="7"/>
        <v>9.3779483132014674E-2</v>
      </c>
      <c r="G9" s="156">
        <f t="shared" si="8"/>
        <v>3.5399999999999636</v>
      </c>
      <c r="H9" s="28">
        <f t="shared" si="0"/>
        <v>2.7167656674494355E-3</v>
      </c>
      <c r="I9" s="179">
        <f>IF(C9&lt;&gt;0,SUM($G$4:$G9),0)</f>
        <v>103.01999999999998</v>
      </c>
      <c r="J9" s="29">
        <f t="shared" si="1"/>
        <v>7.9062485610351327E-2</v>
      </c>
      <c r="K9" s="30"/>
      <c r="L9" s="153">
        <v>44348</v>
      </c>
      <c r="M9" s="154">
        <v>564.54</v>
      </c>
      <c r="N9" s="155"/>
      <c r="O9" s="28">
        <f t="shared" si="9"/>
        <v>-1.3921154215646936E-2</v>
      </c>
      <c r="P9" s="28">
        <f t="shared" si="10"/>
        <v>0.12907999999999986</v>
      </c>
      <c r="Q9" s="156">
        <f t="shared" si="11"/>
        <v>-7.9700000000000273</v>
      </c>
      <c r="R9" s="28">
        <f t="shared" si="2"/>
        <v>-1.4117688737733424E-2</v>
      </c>
      <c r="S9" s="179">
        <f>IF(M9&lt;&gt;0,SUM($Q$4:$Q9),0)</f>
        <v>64.539999999999964</v>
      </c>
      <c r="T9" s="29">
        <f t="shared" si="3"/>
        <v>0.11432316576327624</v>
      </c>
      <c r="U9" s="30"/>
      <c r="V9" s="153">
        <v>44348</v>
      </c>
      <c r="W9" s="154">
        <v>4963.42</v>
      </c>
      <c r="X9" s="155"/>
      <c r="Y9" s="28">
        <f t="shared" si="12"/>
        <v>-7.7507363199511275E-4</v>
      </c>
      <c r="Z9" s="28">
        <f t="shared" si="13"/>
        <v>-5.3917104507916758E-3</v>
      </c>
      <c r="AA9" s="156">
        <f t="shared" si="14"/>
        <v>-3.8500000000003638</v>
      </c>
      <c r="AB9" s="28">
        <f t="shared" si="4"/>
        <v>-7.7567483710835753E-4</v>
      </c>
      <c r="AC9" s="179">
        <f>IF(W9&lt;&gt;0,SUM($AA$4:$AA9),0)</f>
        <v>-36.579999999999927</v>
      </c>
      <c r="AD9" s="29">
        <f t="shared" si="5"/>
        <v>-7.3699183224470079E-3</v>
      </c>
      <c r="AE9" s="30"/>
    </row>
    <row r="10" spans="2:31" ht="15" customHeight="1" x14ac:dyDescent="0.15">
      <c r="B10" s="153">
        <v>44378</v>
      </c>
      <c r="C10" s="154"/>
      <c r="D10" s="155"/>
      <c r="E10" s="28">
        <f t="shared" si="6"/>
        <v>0</v>
      </c>
      <c r="F10" s="28">
        <f t="shared" si="7"/>
        <v>0</v>
      </c>
      <c r="G10" s="156">
        <f t="shared" si="8"/>
        <v>0</v>
      </c>
      <c r="H10" s="28">
        <f t="shared" si="0"/>
        <v>0</v>
      </c>
      <c r="I10" s="179">
        <f>IF(C10&lt;&gt;0,SUM($G$4:$G10),0)</f>
        <v>0</v>
      </c>
      <c r="J10" s="29">
        <f t="shared" si="1"/>
        <v>0</v>
      </c>
      <c r="K10" s="30"/>
      <c r="L10" s="153">
        <v>44378</v>
      </c>
      <c r="M10" s="154"/>
      <c r="N10" s="155"/>
      <c r="O10" s="28">
        <f t="shared" si="9"/>
        <v>0</v>
      </c>
      <c r="P10" s="28">
        <f t="shared" si="10"/>
        <v>0</v>
      </c>
      <c r="Q10" s="156">
        <f t="shared" si="11"/>
        <v>0</v>
      </c>
      <c r="R10" s="28">
        <f t="shared" si="2"/>
        <v>0</v>
      </c>
      <c r="S10" s="179">
        <f>IF(M10&lt;&gt;0,SUM($Q$4:$Q10),0)</f>
        <v>0</v>
      </c>
      <c r="T10" s="29">
        <f t="shared" si="3"/>
        <v>0</v>
      </c>
      <c r="U10" s="30"/>
      <c r="V10" s="153">
        <v>44378</v>
      </c>
      <c r="W10" s="154"/>
      <c r="X10" s="155"/>
      <c r="Y10" s="28">
        <f t="shared" si="12"/>
        <v>0</v>
      </c>
      <c r="Z10" s="28">
        <f t="shared" si="13"/>
        <v>0</v>
      </c>
      <c r="AA10" s="156">
        <f t="shared" si="14"/>
        <v>0</v>
      </c>
      <c r="AB10" s="28">
        <f t="shared" si="4"/>
        <v>0</v>
      </c>
      <c r="AC10" s="179">
        <f>IF(W10&lt;&gt;0,SUM($AA$4:$AA10),0)</f>
        <v>0</v>
      </c>
      <c r="AD10" s="29">
        <f t="shared" si="5"/>
        <v>0</v>
      </c>
      <c r="AE10" s="30"/>
    </row>
    <row r="11" spans="2:31" ht="15" customHeight="1" x14ac:dyDescent="0.15">
      <c r="B11" s="153">
        <v>44409</v>
      </c>
      <c r="C11" s="154"/>
      <c r="D11" s="155"/>
      <c r="E11" s="28">
        <f t="shared" si="6"/>
        <v>0</v>
      </c>
      <c r="F11" s="28">
        <f t="shared" si="7"/>
        <v>0</v>
      </c>
      <c r="G11" s="156">
        <f t="shared" si="8"/>
        <v>0</v>
      </c>
      <c r="H11" s="28">
        <f t="shared" si="0"/>
        <v>0</v>
      </c>
      <c r="I11" s="179">
        <f>IF(C11&lt;&gt;0,SUM($G$4:$G11),0)</f>
        <v>0</v>
      </c>
      <c r="J11" s="29">
        <f t="shared" si="1"/>
        <v>0</v>
      </c>
      <c r="K11" s="30"/>
      <c r="L11" s="153">
        <v>44409</v>
      </c>
      <c r="M11" s="154"/>
      <c r="N11" s="155"/>
      <c r="O11" s="28">
        <f t="shared" si="9"/>
        <v>0</v>
      </c>
      <c r="P11" s="28">
        <f t="shared" si="10"/>
        <v>0</v>
      </c>
      <c r="Q11" s="156">
        <f t="shared" si="11"/>
        <v>0</v>
      </c>
      <c r="R11" s="28">
        <f t="shared" si="2"/>
        <v>0</v>
      </c>
      <c r="S11" s="179">
        <f>IF(M11&lt;&gt;0,SUM($Q$4:$Q11),0)</f>
        <v>0</v>
      </c>
      <c r="T11" s="29">
        <f t="shared" si="3"/>
        <v>0</v>
      </c>
      <c r="U11" s="30"/>
      <c r="V11" s="153">
        <v>44409</v>
      </c>
      <c r="W11" s="154"/>
      <c r="X11" s="155"/>
      <c r="Y11" s="28">
        <f t="shared" si="12"/>
        <v>0</v>
      </c>
      <c r="Z11" s="28">
        <f t="shared" si="13"/>
        <v>0</v>
      </c>
      <c r="AA11" s="156">
        <f t="shared" si="14"/>
        <v>0</v>
      </c>
      <c r="AB11" s="28">
        <f t="shared" si="4"/>
        <v>0</v>
      </c>
      <c r="AC11" s="179">
        <f>IF(W11&lt;&gt;0,SUM($AA$4:$AA11),0)</f>
        <v>0</v>
      </c>
      <c r="AD11" s="29">
        <f t="shared" si="5"/>
        <v>0</v>
      </c>
      <c r="AE11" s="30"/>
    </row>
    <row r="12" spans="2:31" ht="15" customHeight="1" x14ac:dyDescent="0.15">
      <c r="B12" s="153">
        <v>44440</v>
      </c>
      <c r="C12" s="154"/>
      <c r="D12" s="155"/>
      <c r="E12" s="28">
        <f t="shared" si="6"/>
        <v>0</v>
      </c>
      <c r="F12" s="28">
        <f t="shared" si="7"/>
        <v>0</v>
      </c>
      <c r="G12" s="156">
        <f t="shared" si="8"/>
        <v>0</v>
      </c>
      <c r="H12" s="28">
        <f t="shared" si="0"/>
        <v>0</v>
      </c>
      <c r="I12" s="179">
        <f>IF(C12&lt;&gt;0,SUM($G$4:$G12),0)</f>
        <v>0</v>
      </c>
      <c r="J12" s="29">
        <f t="shared" si="1"/>
        <v>0</v>
      </c>
      <c r="K12" s="30"/>
      <c r="L12" s="153">
        <v>44440</v>
      </c>
      <c r="M12" s="154"/>
      <c r="N12" s="155"/>
      <c r="O12" s="28">
        <f t="shared" si="9"/>
        <v>0</v>
      </c>
      <c r="P12" s="28">
        <f t="shared" si="10"/>
        <v>0</v>
      </c>
      <c r="Q12" s="156">
        <f t="shared" si="11"/>
        <v>0</v>
      </c>
      <c r="R12" s="28">
        <f t="shared" si="2"/>
        <v>0</v>
      </c>
      <c r="S12" s="179">
        <f>IF(M12&lt;&gt;0,SUM($Q$4:$Q12),0)</f>
        <v>0</v>
      </c>
      <c r="T12" s="29">
        <f t="shared" si="3"/>
        <v>0</v>
      </c>
      <c r="U12" s="30"/>
      <c r="V12" s="153">
        <v>44440</v>
      </c>
      <c r="W12" s="154"/>
      <c r="X12" s="155"/>
      <c r="Y12" s="28">
        <f t="shared" si="12"/>
        <v>0</v>
      </c>
      <c r="Z12" s="28">
        <f t="shared" si="13"/>
        <v>0</v>
      </c>
      <c r="AA12" s="156">
        <f t="shared" si="14"/>
        <v>0</v>
      </c>
      <c r="AB12" s="28">
        <f t="shared" si="4"/>
        <v>0</v>
      </c>
      <c r="AC12" s="179">
        <f>IF(W12&lt;&gt;0,SUM($AA$4:$AA12),0)</f>
        <v>0</v>
      </c>
      <c r="AD12" s="29">
        <f t="shared" si="5"/>
        <v>0</v>
      </c>
      <c r="AE12" s="30"/>
    </row>
    <row r="13" spans="2:31" ht="15" customHeight="1" x14ac:dyDescent="0.15">
      <c r="B13" s="153">
        <v>44470</v>
      </c>
      <c r="C13" s="154"/>
      <c r="D13" s="155"/>
      <c r="E13" s="28">
        <f t="shared" si="6"/>
        <v>0</v>
      </c>
      <c r="F13" s="28">
        <f t="shared" si="7"/>
        <v>0</v>
      </c>
      <c r="G13" s="156">
        <f t="shared" si="8"/>
        <v>0</v>
      </c>
      <c r="H13" s="28">
        <f t="shared" si="0"/>
        <v>0</v>
      </c>
      <c r="I13" s="179">
        <f>IF(C13&lt;&gt;0,SUM($G$4:$G13),0)</f>
        <v>0</v>
      </c>
      <c r="J13" s="29">
        <f t="shared" si="1"/>
        <v>0</v>
      </c>
      <c r="K13" s="30"/>
      <c r="L13" s="153">
        <v>44470</v>
      </c>
      <c r="M13" s="154"/>
      <c r="N13" s="155"/>
      <c r="O13" s="28">
        <f t="shared" si="9"/>
        <v>0</v>
      </c>
      <c r="P13" s="28">
        <f t="shared" si="10"/>
        <v>0</v>
      </c>
      <c r="Q13" s="156">
        <f t="shared" si="11"/>
        <v>0</v>
      </c>
      <c r="R13" s="28">
        <f t="shared" si="2"/>
        <v>0</v>
      </c>
      <c r="S13" s="179">
        <f>IF(M13&lt;&gt;0,SUM($Q$4:$Q13),0)</f>
        <v>0</v>
      </c>
      <c r="T13" s="29">
        <f t="shared" si="3"/>
        <v>0</v>
      </c>
      <c r="U13" s="30"/>
      <c r="V13" s="153">
        <v>44470</v>
      </c>
      <c r="W13" s="154"/>
      <c r="X13" s="155"/>
      <c r="Y13" s="28">
        <f t="shared" si="12"/>
        <v>0</v>
      </c>
      <c r="Z13" s="28">
        <f t="shared" si="13"/>
        <v>0</v>
      </c>
      <c r="AA13" s="156">
        <f t="shared" si="14"/>
        <v>0</v>
      </c>
      <c r="AB13" s="28">
        <f t="shared" si="4"/>
        <v>0</v>
      </c>
      <c r="AC13" s="179">
        <f>IF(W13&lt;&gt;0,SUM($AA$4:$AA13),0)</f>
        <v>0</v>
      </c>
      <c r="AD13" s="29">
        <f t="shared" si="5"/>
        <v>0</v>
      </c>
      <c r="AE13" s="30"/>
    </row>
    <row r="14" spans="2:31" ht="15" customHeight="1" x14ac:dyDescent="0.15">
      <c r="B14" s="153">
        <v>44501</v>
      </c>
      <c r="C14" s="154"/>
      <c r="D14" s="155"/>
      <c r="E14" s="28">
        <f t="shared" si="6"/>
        <v>0</v>
      </c>
      <c r="F14" s="28">
        <f t="shared" si="7"/>
        <v>0</v>
      </c>
      <c r="G14" s="156">
        <f t="shared" si="8"/>
        <v>0</v>
      </c>
      <c r="H14" s="28">
        <f t="shared" si="0"/>
        <v>0</v>
      </c>
      <c r="I14" s="179">
        <f>IF(C14&lt;&gt;0,SUM($G$4:$G14),0)</f>
        <v>0</v>
      </c>
      <c r="J14" s="29">
        <f t="shared" si="1"/>
        <v>0</v>
      </c>
      <c r="K14" s="30"/>
      <c r="L14" s="153">
        <v>44501</v>
      </c>
      <c r="M14" s="154"/>
      <c r="N14" s="155"/>
      <c r="O14" s="28">
        <f t="shared" si="9"/>
        <v>0</v>
      </c>
      <c r="P14" s="28">
        <f t="shared" si="10"/>
        <v>0</v>
      </c>
      <c r="Q14" s="156">
        <f t="shared" si="11"/>
        <v>0</v>
      </c>
      <c r="R14" s="28">
        <f t="shared" si="2"/>
        <v>0</v>
      </c>
      <c r="S14" s="179">
        <f>IF(M14&lt;&gt;0,SUM($Q$4:$Q14),0)</f>
        <v>0</v>
      </c>
      <c r="T14" s="29">
        <f t="shared" si="3"/>
        <v>0</v>
      </c>
      <c r="U14" s="30"/>
      <c r="V14" s="153">
        <v>44501</v>
      </c>
      <c r="W14" s="154"/>
      <c r="X14" s="155"/>
      <c r="Y14" s="28">
        <f t="shared" si="12"/>
        <v>0</v>
      </c>
      <c r="Z14" s="28">
        <f t="shared" si="13"/>
        <v>0</v>
      </c>
      <c r="AA14" s="156">
        <f t="shared" si="14"/>
        <v>0</v>
      </c>
      <c r="AB14" s="28">
        <f t="shared" si="4"/>
        <v>0</v>
      </c>
      <c r="AC14" s="179">
        <f>IF(W14&lt;&gt;0,SUM($AA$4:$AA14),0)</f>
        <v>0</v>
      </c>
      <c r="AD14" s="29">
        <f t="shared" si="5"/>
        <v>0</v>
      </c>
      <c r="AE14" s="30"/>
    </row>
    <row r="15" spans="2:31" ht="15.75" customHeight="1" thickBot="1" x14ac:dyDescent="0.2">
      <c r="B15" s="165">
        <v>44531</v>
      </c>
      <c r="C15" s="166"/>
      <c r="D15" s="167"/>
      <c r="E15" s="31">
        <f t="shared" si="6"/>
        <v>0</v>
      </c>
      <c r="F15" s="32">
        <f t="shared" si="7"/>
        <v>0</v>
      </c>
      <c r="G15" s="168">
        <f>IF(C15&lt;&gt;0,IF(C14&lt;&gt;0,C15-C14-D15,C15-$C$17-D14),0)</f>
        <v>0</v>
      </c>
      <c r="H15" s="31">
        <f t="shared" si="0"/>
        <v>0</v>
      </c>
      <c r="I15" s="168">
        <f>IF(C15&lt;&gt;0,SUM($G$4:$G15),0)</f>
        <v>0</v>
      </c>
      <c r="J15" s="33">
        <f t="shared" si="1"/>
        <v>0</v>
      </c>
      <c r="K15" s="30"/>
      <c r="L15" s="165">
        <v>44531</v>
      </c>
      <c r="M15" s="166"/>
      <c r="N15" s="167"/>
      <c r="O15" s="28">
        <f t="shared" si="9"/>
        <v>0</v>
      </c>
      <c r="P15" s="28">
        <f t="shared" si="10"/>
        <v>0</v>
      </c>
      <c r="Q15" s="156">
        <f t="shared" si="11"/>
        <v>0</v>
      </c>
      <c r="R15" s="28">
        <f t="shared" si="2"/>
        <v>0</v>
      </c>
      <c r="S15" s="179">
        <f>IF(M15&lt;&gt;0,SUM($Q$4:$Q15),0)</f>
        <v>0</v>
      </c>
      <c r="T15" s="29">
        <f t="shared" si="3"/>
        <v>0</v>
      </c>
      <c r="U15" s="30"/>
      <c r="V15" s="165">
        <v>44531</v>
      </c>
      <c r="W15" s="166"/>
      <c r="X15" s="167"/>
      <c r="Y15" s="34">
        <f t="shared" si="12"/>
        <v>0</v>
      </c>
      <c r="Z15" s="34">
        <f t="shared" si="13"/>
        <v>0</v>
      </c>
      <c r="AA15" s="160">
        <f t="shared" si="14"/>
        <v>0</v>
      </c>
      <c r="AB15" s="34">
        <f t="shared" si="4"/>
        <v>0</v>
      </c>
      <c r="AC15" s="169">
        <f>IF(W15&lt;&gt;0,SUM($AA$4:$AA15),0)</f>
        <v>0</v>
      </c>
      <c r="AD15" s="35">
        <f t="shared" si="5"/>
        <v>0</v>
      </c>
      <c r="AE15" s="30"/>
    </row>
    <row r="17" spans="2:30" ht="15" customHeight="1" x14ac:dyDescent="0.15">
      <c r="B17" s="178" t="s">
        <v>98</v>
      </c>
      <c r="C17" s="161">
        <v>1000</v>
      </c>
      <c r="D17" s="235">
        <f>C17+C18</f>
        <v>1200</v>
      </c>
      <c r="F17" s="36">
        <f>SUM(E4:E15)</f>
        <v>9.0969135203894491E-2</v>
      </c>
      <c r="G17" s="162">
        <f>SUM(G4:G15)</f>
        <v>103.01999999999998</v>
      </c>
      <c r="L17" s="178" t="s">
        <v>98</v>
      </c>
      <c r="M17" s="161">
        <v>500</v>
      </c>
      <c r="N17" s="235">
        <f>M17+M18</f>
        <v>500</v>
      </c>
      <c r="P17" s="36">
        <f>SUM(O4:O15)</f>
        <v>0.12474855724525438</v>
      </c>
      <c r="Q17" s="162">
        <f>SUM(Q4:Q15)</f>
        <v>64.539999999999964</v>
      </c>
      <c r="V17" s="178" t="s">
        <v>98</v>
      </c>
      <c r="W17" s="161">
        <v>5400</v>
      </c>
      <c r="X17" s="235">
        <f>W17+W18</f>
        <v>5000</v>
      </c>
      <c r="Z17" s="36">
        <f>SUM(Y4:Y15)</f>
        <v>-4.8609604543426331E-3</v>
      </c>
      <c r="AA17" s="162">
        <f>SUM(AA4:AA15)</f>
        <v>-36.579999999999927</v>
      </c>
    </row>
    <row r="18" spans="2:30" ht="15" customHeight="1" x14ac:dyDescent="0.15">
      <c r="B18" s="178" t="s">
        <v>74</v>
      </c>
      <c r="C18" s="183">
        <f>SUM(D4:D15)</f>
        <v>200</v>
      </c>
      <c r="D18" s="207"/>
      <c r="L18" s="178" t="s">
        <v>74</v>
      </c>
      <c r="M18" s="183">
        <f>SUM(N4:N15)</f>
        <v>0</v>
      </c>
      <c r="N18" s="207"/>
      <c r="V18" s="178" t="s">
        <v>74</v>
      </c>
      <c r="W18" s="183">
        <f>SUM(X4:X15)</f>
        <v>-400</v>
      </c>
      <c r="X18" s="207"/>
    </row>
    <row r="20" spans="2:30" ht="15" customHeight="1" x14ac:dyDescent="0.15">
      <c r="B20" s="231" t="s">
        <v>7</v>
      </c>
      <c r="C20" s="216"/>
      <c r="D20" s="216"/>
      <c r="E20" s="216"/>
      <c r="F20" s="216"/>
      <c r="G20" s="216"/>
      <c r="H20" s="216"/>
      <c r="I20" s="216"/>
      <c r="J20" s="217"/>
      <c r="K20" s="26"/>
      <c r="L20" s="231" t="s">
        <v>9</v>
      </c>
      <c r="M20" s="216"/>
      <c r="N20" s="216"/>
      <c r="O20" s="216"/>
      <c r="P20" s="216"/>
      <c r="Q20" s="216"/>
      <c r="R20" s="216"/>
      <c r="S20" s="216"/>
      <c r="T20" s="217"/>
      <c r="U20" s="26"/>
      <c r="V20" s="231" t="s">
        <v>11</v>
      </c>
      <c r="W20" s="216"/>
      <c r="X20" s="216"/>
      <c r="Y20" s="216"/>
      <c r="Z20" s="216"/>
      <c r="AA20" s="216"/>
      <c r="AB20" s="216"/>
      <c r="AC20" s="216"/>
      <c r="AD20" s="217"/>
    </row>
    <row r="21" spans="2:30" ht="45" customHeight="1" x14ac:dyDescent="0.15">
      <c r="B21" s="27" t="s">
        <v>92</v>
      </c>
      <c r="C21" s="182" t="s">
        <v>93</v>
      </c>
      <c r="D21" s="182" t="s">
        <v>94</v>
      </c>
      <c r="E21" s="182" t="s">
        <v>95</v>
      </c>
      <c r="F21" s="182" t="s">
        <v>96</v>
      </c>
      <c r="G21" s="232" t="s">
        <v>97</v>
      </c>
      <c r="H21" s="228"/>
      <c r="I21" s="233" t="s">
        <v>50</v>
      </c>
      <c r="J21" s="234"/>
      <c r="K21" s="26"/>
      <c r="L21" s="27" t="s">
        <v>92</v>
      </c>
      <c r="M21" s="182" t="s">
        <v>93</v>
      </c>
      <c r="N21" s="182" t="s">
        <v>94</v>
      </c>
      <c r="O21" s="182" t="s">
        <v>95</v>
      </c>
      <c r="P21" s="182" t="s">
        <v>96</v>
      </c>
      <c r="Q21" s="232" t="s">
        <v>97</v>
      </c>
      <c r="R21" s="228"/>
      <c r="S21" s="233" t="s">
        <v>50</v>
      </c>
      <c r="T21" s="234"/>
      <c r="U21" s="26"/>
      <c r="V21" s="27" t="s">
        <v>92</v>
      </c>
      <c r="W21" s="182" t="s">
        <v>93</v>
      </c>
      <c r="X21" s="182" t="s">
        <v>94</v>
      </c>
      <c r="Y21" s="182" t="s">
        <v>95</v>
      </c>
      <c r="Z21" s="182" t="s">
        <v>96</v>
      </c>
      <c r="AA21" s="232" t="s">
        <v>97</v>
      </c>
      <c r="AB21" s="228"/>
      <c r="AC21" s="233" t="s">
        <v>50</v>
      </c>
      <c r="AD21" s="234"/>
    </row>
    <row r="22" spans="2:30" ht="15" customHeight="1" x14ac:dyDescent="0.15">
      <c r="B22" s="153">
        <v>44197</v>
      </c>
      <c r="C22" s="154">
        <v>525.04</v>
      </c>
      <c r="D22" s="155">
        <v>100</v>
      </c>
      <c r="E22" s="28">
        <f>IF(C22&gt;0,IF((C35+D22)&gt;0,((C22)-(C35+D22))/(C35+D22),((C22)-($C$35+D22))/($C$35+D22)),0)</f>
        <v>5.007999999999993E-2</v>
      </c>
      <c r="F22" s="28">
        <f>IF(E22&lt;&gt;0,(1+E22)*(1)-1,0)</f>
        <v>5.0079999999999902E-2</v>
      </c>
      <c r="G22" s="156">
        <f>IF(C22&lt;&gt;0,C22-$C$35-D22,0)</f>
        <v>25.039999999999964</v>
      </c>
      <c r="H22" s="28">
        <f t="shared" ref="H22:H33" si="15">IFERROR(G22/(C22-D22),0)</f>
        <v>5.891210239036318E-2</v>
      </c>
      <c r="I22" s="179">
        <f>IF(C22&lt;&gt;0,SUM($G22),0)</f>
        <v>25.039999999999964</v>
      </c>
      <c r="J22" s="29">
        <f t="shared" ref="J22:J33" si="16">IF(C22&lt;&gt;0,IFERROR(I22/(C22-D22),0),0)</f>
        <v>5.891210239036318E-2</v>
      </c>
      <c r="K22" s="30"/>
      <c r="L22" s="153">
        <v>44197</v>
      </c>
      <c r="M22" s="154">
        <v>525.92999999999995</v>
      </c>
      <c r="N22" s="155"/>
      <c r="O22" s="28">
        <f>IF(M22&gt;0,IF((M35+N22)&gt;0,((M22)-(M35+N22))/(M35+N22),((M22)-($M$35+N22))/($M$35+N22)),0)</f>
        <v>5.1859999999999899E-2</v>
      </c>
      <c r="P22" s="28">
        <f>IF(O22&lt;&gt;0,(1+O22)*(1)-1,0)</f>
        <v>5.1859999999999795E-2</v>
      </c>
      <c r="Q22" s="156">
        <f>IF(M22&lt;&gt;0,M22-M35-N22,0)</f>
        <v>25.92999999999995</v>
      </c>
      <c r="R22" s="28">
        <f t="shared" ref="R22:R33" si="17">IFERROR(Q22/(M22-N22),0)</f>
        <v>4.9303139201034268E-2</v>
      </c>
      <c r="S22" s="179">
        <f>IF(M22&lt;&gt;0,SUM($Q22),0)</f>
        <v>25.92999999999995</v>
      </c>
      <c r="T22" s="29">
        <f t="shared" ref="T22:T33" si="18">IF(M22&lt;&gt;0,IFERROR(S22/(M22-N22),0),0)</f>
        <v>4.9303139201034268E-2</v>
      </c>
      <c r="U22" s="30"/>
      <c r="V22" s="153">
        <v>44197</v>
      </c>
      <c r="W22" s="154">
        <v>506.98</v>
      </c>
      <c r="X22" s="155"/>
      <c r="Y22" s="28">
        <f>IF(W22&gt;0,IF((W35+X22)&gt;0,((W22)-(W35+X22))/(W35+X22),((W22)-($W$35+X22))/($W$35+X22)),0)</f>
        <v>1.3960000000000037E-2</v>
      </c>
      <c r="Z22" s="28">
        <f>IF(Y22&lt;&gt;0,(1+Y22)*(1)-1,0)</f>
        <v>1.3959999999999972E-2</v>
      </c>
      <c r="AA22" s="156">
        <f>IF(W22&lt;&gt;0,W22-W35-X22,0)</f>
        <v>6.9800000000000182</v>
      </c>
      <c r="AB22" s="28">
        <f t="shared" ref="AB22:AB33" si="19">IFERROR(AA22/(W22-X22),0)</f>
        <v>1.376780149118312E-2</v>
      </c>
      <c r="AC22" s="179">
        <f>IF(W22&lt;&gt;0,SUM($AA22),0)</f>
        <v>6.9800000000000182</v>
      </c>
      <c r="AD22" s="29">
        <f t="shared" ref="AD22:AD33" si="20">IF(W22&lt;&gt;0,IFERROR(AC22/(W22-X22),0),0)</f>
        <v>1.376780149118312E-2</v>
      </c>
    </row>
    <row r="23" spans="2:30" ht="15" customHeight="1" x14ac:dyDescent="0.15">
      <c r="B23" s="153">
        <v>44228</v>
      </c>
      <c r="C23" s="154">
        <v>622.16999999999996</v>
      </c>
      <c r="D23" s="155">
        <v>100</v>
      </c>
      <c r="E23" s="28">
        <f t="shared" ref="E23:E33" si="21">IF(C23&gt;0,IF(C22&gt;0,((C23)-(C22+D23))/(C22+D23),((C23)-($C$35+D23))/($C$35+D23)),0)</f>
        <v>-4.5917061308076356E-3</v>
      </c>
      <c r="F23" s="28">
        <f t="shared" ref="F23:F33" si="22">IF(E23&lt;&gt;0,IF(F22&lt;&gt;0,(1+E23)*(F22+1)-1,E23),0)</f>
        <v>4.5258341226161347E-2</v>
      </c>
      <c r="G23" s="156">
        <f t="shared" ref="G23:G33" si="23">IF(C23&lt;&gt;0,IF(C22&lt;&gt;0,C23-C22-D23,C23-$C$35-D23),0)</f>
        <v>-2.8700000000000045</v>
      </c>
      <c r="H23" s="28">
        <f t="shared" si="15"/>
        <v>-5.4962943102821009E-3</v>
      </c>
      <c r="I23" s="179">
        <f>IF(C23&lt;&gt;0,SUM($G$22:$G23),0)</f>
        <v>22.169999999999959</v>
      </c>
      <c r="J23" s="29">
        <f t="shared" si="16"/>
        <v>4.2457437233084934E-2</v>
      </c>
      <c r="K23" s="30"/>
      <c r="L23" s="153">
        <v>44228</v>
      </c>
      <c r="M23" s="154">
        <v>522.19000000000005</v>
      </c>
      <c r="N23" s="155"/>
      <c r="O23" s="28">
        <f t="shared" ref="O23:O33" si="24">IF(M23&gt;0,IF(M22&gt;0,((M23)-(M22+N23))/(M22+N23),((M23)-($M$35+N23))/($M$35+N23)),0)</f>
        <v>-7.1112125187760651E-3</v>
      </c>
      <c r="P23" s="28">
        <f t="shared" ref="P23:P33" si="25">IF(O23&lt;&gt;0,IF(P22&lt;&gt;0,(1+O23)*(P22+1)-1,O23),0)</f>
        <v>4.4379999999999864E-2</v>
      </c>
      <c r="Q23" s="156">
        <f t="shared" ref="Q23:Q33" si="26">IF(M23&lt;&gt;0,IF(M22&lt;&gt;0,M23-M22-N23,M23-$M$35-N23),0)</f>
        <v>-3.7399999999998954</v>
      </c>
      <c r="R23" s="28">
        <f t="shared" si="17"/>
        <v>-7.162144047185689E-3</v>
      </c>
      <c r="S23" s="179">
        <f>IF(M23&lt;&gt;0,SUM($Q$22:$Q23),0)</f>
        <v>22.190000000000055</v>
      </c>
      <c r="T23" s="29">
        <f t="shared" si="18"/>
        <v>4.2494111338784835E-2</v>
      </c>
      <c r="U23" s="30"/>
      <c r="V23" s="153">
        <v>44228</v>
      </c>
      <c r="W23" s="154">
        <v>500.93</v>
      </c>
      <c r="X23" s="155"/>
      <c r="Y23" s="28">
        <f t="shared" ref="Y23:Y33" si="27">IF(W23&gt;0,IF(W22&gt;0,((W23)-(W22+X23))/(W22+X23),((W23)-($W$35+X23))/($W$35+X23)),0)</f>
        <v>-1.1933409601956707E-2</v>
      </c>
      <c r="Z23" s="28">
        <f t="shared" ref="Z23:Z33" si="28">IF(Y23&lt;&gt;0,IF(Z22&lt;&gt;0,(1+Y23)*(Z22+1)-1,Y23),0)</f>
        <v>1.8599999999999728E-3</v>
      </c>
      <c r="AA23" s="156">
        <f t="shared" ref="AA23:AA33" si="29">IF(W23&lt;&gt;0,IF(W22&lt;&gt;0,W23-W22-X23,W23-$W$35-X23),0)</f>
        <v>-6.0500000000000114</v>
      </c>
      <c r="AB23" s="28">
        <f t="shared" si="19"/>
        <v>-1.207753578344282E-2</v>
      </c>
      <c r="AC23" s="179">
        <f>IF(W23&lt;&gt;0,SUM($AA$22:$AA23),0)</f>
        <v>0.93000000000000682</v>
      </c>
      <c r="AD23" s="29">
        <f t="shared" si="20"/>
        <v>1.8565468229094022E-3</v>
      </c>
    </row>
    <row r="24" spans="2:30" ht="15" customHeight="1" x14ac:dyDescent="0.15">
      <c r="B24" s="153">
        <v>44256</v>
      </c>
      <c r="C24" s="154">
        <v>740.19</v>
      </c>
      <c r="D24" s="155">
        <v>100</v>
      </c>
      <c r="E24" s="28">
        <f t="shared" si="21"/>
        <v>2.4952573493775838E-2</v>
      </c>
      <c r="F24" s="28">
        <f t="shared" si="22"/>
        <v>7.134022680558938E-2</v>
      </c>
      <c r="G24" s="156">
        <f t="shared" si="23"/>
        <v>18.020000000000095</v>
      </c>
      <c r="H24" s="28">
        <f t="shared" si="15"/>
        <v>2.8147893594089403E-2</v>
      </c>
      <c r="I24" s="179">
        <f>IF(C24&lt;&gt;0,SUM($G$22:$G24),0)</f>
        <v>40.190000000000055</v>
      </c>
      <c r="J24" s="29">
        <f t="shared" si="16"/>
        <v>6.2778237710679724E-2</v>
      </c>
      <c r="K24" s="30"/>
      <c r="L24" s="153">
        <v>44256</v>
      </c>
      <c r="M24" s="154">
        <v>535.9</v>
      </c>
      <c r="N24" s="155"/>
      <c r="O24" s="28">
        <f t="shared" si="24"/>
        <v>2.6254811467090373E-2</v>
      </c>
      <c r="P24" s="28">
        <f t="shared" si="25"/>
        <v>7.1799999999999642E-2</v>
      </c>
      <c r="Q24" s="156">
        <f t="shared" si="26"/>
        <v>13.709999999999923</v>
      </c>
      <c r="R24" s="28">
        <f t="shared" si="17"/>
        <v>2.5583131181190377E-2</v>
      </c>
      <c r="S24" s="179">
        <f>IF(M24&lt;&gt;0,SUM($Q$22:$Q24),0)</f>
        <v>35.899999999999977</v>
      </c>
      <c r="T24" s="29">
        <f t="shared" si="18"/>
        <v>6.6990110095166963E-2</v>
      </c>
      <c r="U24" s="30"/>
      <c r="V24" s="153">
        <v>44256</v>
      </c>
      <c r="W24" s="154">
        <v>502.95</v>
      </c>
      <c r="X24" s="155"/>
      <c r="Y24" s="28">
        <f t="shared" si="27"/>
        <v>4.0324995508354096E-3</v>
      </c>
      <c r="Z24" s="28">
        <f t="shared" si="28"/>
        <v>5.9000000000000163E-3</v>
      </c>
      <c r="AA24" s="156">
        <f t="shared" si="29"/>
        <v>2.0199999999999818</v>
      </c>
      <c r="AB24" s="28">
        <f t="shared" si="19"/>
        <v>4.0163038075355043E-3</v>
      </c>
      <c r="AC24" s="179">
        <f>IF(W24&lt;&gt;0,SUM($AA$22:$AA24),0)</f>
        <v>2.9499999999999886</v>
      </c>
      <c r="AD24" s="29">
        <f t="shared" si="20"/>
        <v>5.8653941743711871E-3</v>
      </c>
    </row>
    <row r="25" spans="2:30" ht="15" customHeight="1" x14ac:dyDescent="0.15">
      <c r="B25" s="153">
        <v>44287</v>
      </c>
      <c r="C25" s="154">
        <v>785.9</v>
      </c>
      <c r="D25" s="155"/>
      <c r="E25" s="28">
        <f t="shared" si="21"/>
        <v>6.1754414407111581E-2</v>
      </c>
      <c r="F25" s="28">
        <f t="shared" si="22"/>
        <v>0.13750021514275068</v>
      </c>
      <c r="G25" s="156">
        <f t="shared" si="23"/>
        <v>45.709999999999923</v>
      </c>
      <c r="H25" s="28">
        <f t="shared" si="15"/>
        <v>5.816261610891961E-2</v>
      </c>
      <c r="I25" s="179">
        <f>IF(C25&lt;&gt;0,SUM($G$22:$G25),0)</f>
        <v>85.899999999999977</v>
      </c>
      <c r="J25" s="29">
        <f t="shared" si="16"/>
        <v>0.1093014378419646</v>
      </c>
      <c r="K25" s="30"/>
      <c r="L25" s="153">
        <v>44287</v>
      </c>
      <c r="M25" s="154">
        <v>559.13</v>
      </c>
      <c r="N25" s="155"/>
      <c r="O25" s="28">
        <f t="shared" si="24"/>
        <v>4.3347639484978578E-2</v>
      </c>
      <c r="P25" s="28">
        <f t="shared" si="25"/>
        <v>0.11825999999999959</v>
      </c>
      <c r="Q25" s="156">
        <f t="shared" si="26"/>
        <v>23.230000000000018</v>
      </c>
      <c r="R25" s="28">
        <f t="shared" si="17"/>
        <v>4.1546688605512166E-2</v>
      </c>
      <c r="S25" s="179">
        <f>IF(M25&lt;&gt;0,SUM($Q$22:$Q25),0)</f>
        <v>59.129999999999995</v>
      </c>
      <c r="T25" s="29">
        <f t="shared" si="18"/>
        <v>0.10575358145690626</v>
      </c>
      <c r="U25" s="30"/>
      <c r="V25" s="153">
        <v>44287</v>
      </c>
      <c r="W25" s="154">
        <v>522.89</v>
      </c>
      <c r="X25" s="155"/>
      <c r="Y25" s="28">
        <f t="shared" si="27"/>
        <v>3.9646088080326075E-2</v>
      </c>
      <c r="Z25" s="28">
        <f t="shared" si="28"/>
        <v>4.5779999999999932E-2</v>
      </c>
      <c r="AA25" s="156">
        <f t="shared" si="29"/>
        <v>19.939999999999998</v>
      </c>
      <c r="AB25" s="28">
        <f t="shared" si="19"/>
        <v>3.8134215609401591E-2</v>
      </c>
      <c r="AC25" s="179">
        <f>IF(W25&lt;&gt;0,SUM($AA$22:$AA25),0)</f>
        <v>22.889999999999986</v>
      </c>
      <c r="AD25" s="29">
        <f t="shared" si="20"/>
        <v>4.3775937577693179E-2</v>
      </c>
    </row>
    <row r="26" spans="2:30" ht="15" customHeight="1" x14ac:dyDescent="0.15">
      <c r="B26" s="153">
        <v>44317</v>
      </c>
      <c r="C26" s="154">
        <v>904.76</v>
      </c>
      <c r="D26" s="155">
        <v>100</v>
      </c>
      <c r="E26" s="28">
        <f t="shared" si="21"/>
        <v>2.1289084546788593E-2</v>
      </c>
      <c r="F26" s="28">
        <f t="shared" si="22"/>
        <v>0.16171655339491497</v>
      </c>
      <c r="G26" s="156">
        <f t="shared" si="23"/>
        <v>18.860000000000014</v>
      </c>
      <c r="H26" s="28">
        <f t="shared" si="15"/>
        <v>2.3435558427357242E-2</v>
      </c>
      <c r="I26" s="179">
        <f>IF(C26&lt;&gt;0,SUM($G$22:$G26),0)</f>
        <v>104.75999999999999</v>
      </c>
      <c r="J26" s="29">
        <f t="shared" si="16"/>
        <v>0.13017545603658232</v>
      </c>
      <c r="K26" s="30"/>
      <c r="L26" s="153">
        <v>44317</v>
      </c>
      <c r="M26" s="154">
        <v>579.19000000000005</v>
      </c>
      <c r="N26" s="155"/>
      <c r="O26" s="28">
        <f t="shared" si="24"/>
        <v>3.5877166311949024E-2</v>
      </c>
      <c r="P26" s="28">
        <f t="shared" si="25"/>
        <v>0.15837999999999974</v>
      </c>
      <c r="Q26" s="156">
        <f t="shared" si="26"/>
        <v>20.060000000000059</v>
      </c>
      <c r="R26" s="28">
        <f t="shared" si="17"/>
        <v>3.4634575873202331E-2</v>
      </c>
      <c r="S26" s="179">
        <f>IF(M26&lt;&gt;0,SUM($Q$22:$Q26),0)</f>
        <v>79.190000000000055</v>
      </c>
      <c r="T26" s="29">
        <f t="shared" si="18"/>
        <v>0.1367254268892765</v>
      </c>
      <c r="U26" s="30"/>
      <c r="V26" s="153">
        <v>44317</v>
      </c>
      <c r="W26" s="154">
        <v>519.97</v>
      </c>
      <c r="X26" s="155"/>
      <c r="Y26" s="28">
        <f t="shared" si="27"/>
        <v>-5.5843485245461932E-3</v>
      </c>
      <c r="Z26" s="28">
        <f t="shared" si="28"/>
        <v>3.9940000000000087E-2</v>
      </c>
      <c r="AA26" s="156">
        <f t="shared" si="29"/>
        <v>-2.9199999999999591</v>
      </c>
      <c r="AB26" s="28">
        <f t="shared" si="19"/>
        <v>-5.6157085985729157E-3</v>
      </c>
      <c r="AC26" s="179">
        <f>IF(W26&lt;&gt;0,SUM($AA$22:$AA26),0)</f>
        <v>19.970000000000027</v>
      </c>
      <c r="AD26" s="29">
        <f t="shared" si="20"/>
        <v>3.8406061888185905E-2</v>
      </c>
    </row>
    <row r="27" spans="2:30" ht="15" customHeight="1" x14ac:dyDescent="0.15">
      <c r="B27" s="153">
        <v>44348</v>
      </c>
      <c r="C27" s="154">
        <v>886.97</v>
      </c>
      <c r="D27" s="155"/>
      <c r="E27" s="28">
        <f t="shared" si="21"/>
        <v>-1.9662672974048327E-2</v>
      </c>
      <c r="F27" s="28">
        <f t="shared" si="22"/>
        <v>0.13887410071697226</v>
      </c>
      <c r="G27" s="156">
        <f t="shared" si="23"/>
        <v>-17.789999999999964</v>
      </c>
      <c r="H27" s="28">
        <f t="shared" si="15"/>
        <v>-2.00570481526996E-2</v>
      </c>
      <c r="I27" s="179">
        <f>IF(C27&lt;&gt;0,SUM($G$22:$G27),0)</f>
        <v>86.970000000000027</v>
      </c>
      <c r="J27" s="29">
        <f t="shared" si="16"/>
        <v>9.8052921744816654E-2</v>
      </c>
      <c r="K27" s="30"/>
      <c r="L27" s="153">
        <v>44348</v>
      </c>
      <c r="M27" s="154">
        <v>569.86</v>
      </c>
      <c r="N27" s="155"/>
      <c r="O27" s="28">
        <f t="shared" si="24"/>
        <v>-1.610870353424617E-2</v>
      </c>
      <c r="P27" s="28">
        <f t="shared" si="25"/>
        <v>0.13971999999999962</v>
      </c>
      <c r="Q27" s="156">
        <f t="shared" si="26"/>
        <v>-9.3300000000000409</v>
      </c>
      <c r="R27" s="28">
        <f t="shared" si="17"/>
        <v>-1.6372442354262523E-2</v>
      </c>
      <c r="S27" s="179">
        <f>IF(M27&lt;&gt;0,SUM($Q$22:$Q27),0)</f>
        <v>69.860000000000014</v>
      </c>
      <c r="T27" s="29">
        <f t="shared" si="18"/>
        <v>0.12259151370512057</v>
      </c>
      <c r="U27" s="30"/>
      <c r="V27" s="153">
        <v>44348</v>
      </c>
      <c r="W27" s="154">
        <v>514.82000000000005</v>
      </c>
      <c r="X27" s="155"/>
      <c r="Y27" s="28">
        <f t="shared" si="27"/>
        <v>-9.9044175625516411E-3</v>
      </c>
      <c r="Z27" s="28">
        <f t="shared" si="28"/>
        <v>2.9640000000000111E-2</v>
      </c>
      <c r="AA27" s="156">
        <f t="shared" si="29"/>
        <v>-5.1499999999999773</v>
      </c>
      <c r="AB27" s="28">
        <f t="shared" si="19"/>
        <v>-1.0003496367662439E-2</v>
      </c>
      <c r="AC27" s="179">
        <f>IF(W27&lt;&gt;0,SUM($AA$22:$AA27),0)</f>
        <v>14.82000000000005</v>
      </c>
      <c r="AD27" s="29">
        <f t="shared" si="20"/>
        <v>2.8786760421118156E-2</v>
      </c>
    </row>
    <row r="28" spans="2:30" ht="15" customHeight="1" x14ac:dyDescent="0.15">
      <c r="B28" s="153">
        <v>44378</v>
      </c>
      <c r="C28" s="154"/>
      <c r="D28" s="155"/>
      <c r="E28" s="28">
        <f t="shared" si="21"/>
        <v>0</v>
      </c>
      <c r="F28" s="28">
        <f t="shared" si="22"/>
        <v>0</v>
      </c>
      <c r="G28" s="156">
        <f t="shared" si="23"/>
        <v>0</v>
      </c>
      <c r="H28" s="28">
        <f t="shared" si="15"/>
        <v>0</v>
      </c>
      <c r="I28" s="179">
        <f>IF(C28&lt;&gt;0,SUM($G$22:$G28),0)</f>
        <v>0</v>
      </c>
      <c r="J28" s="29">
        <f t="shared" si="16"/>
        <v>0</v>
      </c>
      <c r="K28" s="30"/>
      <c r="L28" s="153">
        <v>44378</v>
      </c>
      <c r="M28" s="154"/>
      <c r="N28" s="155"/>
      <c r="O28" s="28">
        <f t="shared" si="24"/>
        <v>0</v>
      </c>
      <c r="P28" s="28">
        <f t="shared" si="25"/>
        <v>0</v>
      </c>
      <c r="Q28" s="156">
        <f t="shared" si="26"/>
        <v>0</v>
      </c>
      <c r="R28" s="28">
        <f t="shared" si="17"/>
        <v>0</v>
      </c>
      <c r="S28" s="179">
        <f>IF(M28&lt;&gt;0,SUM($Q$22:$Q28),0)</f>
        <v>0</v>
      </c>
      <c r="T28" s="29">
        <f t="shared" si="18"/>
        <v>0</v>
      </c>
      <c r="U28" s="30"/>
      <c r="V28" s="153">
        <v>44378</v>
      </c>
      <c r="W28" s="154"/>
      <c r="X28" s="155"/>
      <c r="Y28" s="28">
        <f t="shared" si="27"/>
        <v>0</v>
      </c>
      <c r="Z28" s="28">
        <f t="shared" si="28"/>
        <v>0</v>
      </c>
      <c r="AA28" s="156">
        <f t="shared" si="29"/>
        <v>0</v>
      </c>
      <c r="AB28" s="28">
        <f t="shared" si="19"/>
        <v>0</v>
      </c>
      <c r="AC28" s="179">
        <f>IF(W28&lt;&gt;0,SUM($AA$22:$AA28),0)</f>
        <v>0</v>
      </c>
      <c r="AD28" s="29">
        <f t="shared" si="20"/>
        <v>0</v>
      </c>
    </row>
    <row r="29" spans="2:30" ht="15" customHeight="1" x14ac:dyDescent="0.15">
      <c r="B29" s="153">
        <v>44409</v>
      </c>
      <c r="C29" s="154"/>
      <c r="D29" s="155"/>
      <c r="E29" s="28">
        <f t="shared" si="21"/>
        <v>0</v>
      </c>
      <c r="F29" s="28">
        <f t="shared" si="22"/>
        <v>0</v>
      </c>
      <c r="G29" s="156">
        <f t="shared" si="23"/>
        <v>0</v>
      </c>
      <c r="H29" s="28">
        <f t="shared" si="15"/>
        <v>0</v>
      </c>
      <c r="I29" s="179">
        <f>IF(C29&lt;&gt;0,SUM($G$22:$G29),0)</f>
        <v>0</v>
      </c>
      <c r="J29" s="29">
        <f t="shared" si="16"/>
        <v>0</v>
      </c>
      <c r="K29" s="30"/>
      <c r="L29" s="153">
        <v>44409</v>
      </c>
      <c r="M29" s="154"/>
      <c r="N29" s="155"/>
      <c r="O29" s="28">
        <f t="shared" si="24"/>
        <v>0</v>
      </c>
      <c r="P29" s="28">
        <f t="shared" si="25"/>
        <v>0</v>
      </c>
      <c r="Q29" s="156">
        <f t="shared" si="26"/>
        <v>0</v>
      </c>
      <c r="R29" s="28">
        <f t="shared" si="17"/>
        <v>0</v>
      </c>
      <c r="S29" s="179">
        <f>IF(M29&lt;&gt;0,SUM($Q$22:$Q29),0)</f>
        <v>0</v>
      </c>
      <c r="T29" s="29">
        <f t="shared" si="18"/>
        <v>0</v>
      </c>
      <c r="U29" s="30"/>
      <c r="V29" s="153">
        <v>44409</v>
      </c>
      <c r="W29" s="154"/>
      <c r="X29" s="155"/>
      <c r="Y29" s="28">
        <f t="shared" si="27"/>
        <v>0</v>
      </c>
      <c r="Z29" s="28">
        <f t="shared" si="28"/>
        <v>0</v>
      </c>
      <c r="AA29" s="156">
        <f t="shared" si="29"/>
        <v>0</v>
      </c>
      <c r="AB29" s="28">
        <f t="shared" si="19"/>
        <v>0</v>
      </c>
      <c r="AC29" s="179">
        <f>IF(W29&lt;&gt;0,SUM($AA$22:$AA29),0)</f>
        <v>0</v>
      </c>
      <c r="AD29" s="29">
        <f t="shared" si="20"/>
        <v>0</v>
      </c>
    </row>
    <row r="30" spans="2:30" ht="15" customHeight="1" x14ac:dyDescent="0.15">
      <c r="B30" s="153">
        <v>44440</v>
      </c>
      <c r="C30" s="154"/>
      <c r="D30" s="155"/>
      <c r="E30" s="28">
        <f t="shared" si="21"/>
        <v>0</v>
      </c>
      <c r="F30" s="28">
        <f t="shared" si="22"/>
        <v>0</v>
      </c>
      <c r="G30" s="156">
        <f t="shared" si="23"/>
        <v>0</v>
      </c>
      <c r="H30" s="28">
        <f t="shared" si="15"/>
        <v>0</v>
      </c>
      <c r="I30" s="179">
        <f>IF(C30&lt;&gt;0,SUM($G$22:$G30),0)</f>
        <v>0</v>
      </c>
      <c r="J30" s="29">
        <f t="shared" si="16"/>
        <v>0</v>
      </c>
      <c r="K30" s="30"/>
      <c r="L30" s="153">
        <v>44440</v>
      </c>
      <c r="M30" s="154"/>
      <c r="N30" s="155"/>
      <c r="O30" s="28">
        <f t="shared" si="24"/>
        <v>0</v>
      </c>
      <c r="P30" s="28">
        <f t="shared" si="25"/>
        <v>0</v>
      </c>
      <c r="Q30" s="156">
        <f t="shared" si="26"/>
        <v>0</v>
      </c>
      <c r="R30" s="28">
        <f t="shared" si="17"/>
        <v>0</v>
      </c>
      <c r="S30" s="179">
        <f>IF(M30&lt;&gt;0,SUM($Q$22:$Q30),0)</f>
        <v>0</v>
      </c>
      <c r="T30" s="29">
        <f t="shared" si="18"/>
        <v>0</v>
      </c>
      <c r="U30" s="30"/>
      <c r="V30" s="153">
        <v>44440</v>
      </c>
      <c r="W30" s="154"/>
      <c r="X30" s="155"/>
      <c r="Y30" s="28">
        <f t="shared" si="27"/>
        <v>0</v>
      </c>
      <c r="Z30" s="28">
        <f t="shared" si="28"/>
        <v>0</v>
      </c>
      <c r="AA30" s="156">
        <f t="shared" si="29"/>
        <v>0</v>
      </c>
      <c r="AB30" s="28">
        <f t="shared" si="19"/>
        <v>0</v>
      </c>
      <c r="AC30" s="179">
        <f>IF(W30&lt;&gt;0,SUM($AA$22:$AA30),0)</f>
        <v>0</v>
      </c>
      <c r="AD30" s="29">
        <f t="shared" si="20"/>
        <v>0</v>
      </c>
    </row>
    <row r="31" spans="2:30" ht="15" customHeight="1" x14ac:dyDescent="0.15">
      <c r="B31" s="153">
        <v>44470</v>
      </c>
      <c r="C31" s="154"/>
      <c r="D31" s="155"/>
      <c r="E31" s="28">
        <f t="shared" si="21"/>
        <v>0</v>
      </c>
      <c r="F31" s="28">
        <f t="shared" si="22"/>
        <v>0</v>
      </c>
      <c r="G31" s="156">
        <f t="shared" si="23"/>
        <v>0</v>
      </c>
      <c r="H31" s="28">
        <f t="shared" si="15"/>
        <v>0</v>
      </c>
      <c r="I31" s="179">
        <f>IF(C31&lt;&gt;0,SUM($G$22:$G31),0)</f>
        <v>0</v>
      </c>
      <c r="J31" s="29">
        <f t="shared" si="16"/>
        <v>0</v>
      </c>
      <c r="K31" s="30"/>
      <c r="L31" s="153">
        <v>44470</v>
      </c>
      <c r="M31" s="154"/>
      <c r="N31" s="155"/>
      <c r="O31" s="28">
        <f t="shared" si="24"/>
        <v>0</v>
      </c>
      <c r="P31" s="28">
        <f t="shared" si="25"/>
        <v>0</v>
      </c>
      <c r="Q31" s="156">
        <f t="shared" si="26"/>
        <v>0</v>
      </c>
      <c r="R31" s="28">
        <f t="shared" si="17"/>
        <v>0</v>
      </c>
      <c r="S31" s="179">
        <f>IF(M31&lt;&gt;0,SUM($Q$22:$Q31),0)</f>
        <v>0</v>
      </c>
      <c r="T31" s="29">
        <f t="shared" si="18"/>
        <v>0</v>
      </c>
      <c r="U31" s="30"/>
      <c r="V31" s="153">
        <v>44470</v>
      </c>
      <c r="W31" s="154"/>
      <c r="X31" s="155"/>
      <c r="Y31" s="28">
        <f t="shared" si="27"/>
        <v>0</v>
      </c>
      <c r="Z31" s="28">
        <f t="shared" si="28"/>
        <v>0</v>
      </c>
      <c r="AA31" s="156">
        <f t="shared" si="29"/>
        <v>0</v>
      </c>
      <c r="AB31" s="28">
        <f t="shared" si="19"/>
        <v>0</v>
      </c>
      <c r="AC31" s="179">
        <f>IF(W31&lt;&gt;0,SUM($AA$22:$AA31),0)</f>
        <v>0</v>
      </c>
      <c r="AD31" s="29">
        <f t="shared" si="20"/>
        <v>0</v>
      </c>
    </row>
    <row r="32" spans="2:30" ht="15" customHeight="1" x14ac:dyDescent="0.15">
      <c r="B32" s="153">
        <v>44501</v>
      </c>
      <c r="C32" s="154"/>
      <c r="D32" s="155"/>
      <c r="E32" s="28">
        <f t="shared" si="21"/>
        <v>0</v>
      </c>
      <c r="F32" s="28">
        <f t="shared" si="22"/>
        <v>0</v>
      </c>
      <c r="G32" s="156">
        <f t="shared" si="23"/>
        <v>0</v>
      </c>
      <c r="H32" s="28">
        <f t="shared" si="15"/>
        <v>0</v>
      </c>
      <c r="I32" s="179">
        <f>IF(C32&lt;&gt;0,SUM($G$22:$G32),0)</f>
        <v>0</v>
      </c>
      <c r="J32" s="29">
        <f t="shared" si="16"/>
        <v>0</v>
      </c>
      <c r="K32" s="30"/>
      <c r="L32" s="153">
        <v>44501</v>
      </c>
      <c r="M32" s="154"/>
      <c r="N32" s="155"/>
      <c r="O32" s="28">
        <f t="shared" si="24"/>
        <v>0</v>
      </c>
      <c r="P32" s="28">
        <f t="shared" si="25"/>
        <v>0</v>
      </c>
      <c r="Q32" s="156">
        <f t="shared" si="26"/>
        <v>0</v>
      </c>
      <c r="R32" s="28">
        <f t="shared" si="17"/>
        <v>0</v>
      </c>
      <c r="S32" s="179">
        <f>IF(M32&lt;&gt;0,SUM($Q$22:$Q32),0)</f>
        <v>0</v>
      </c>
      <c r="T32" s="29">
        <f t="shared" si="18"/>
        <v>0</v>
      </c>
      <c r="U32" s="30"/>
      <c r="V32" s="153">
        <v>44501</v>
      </c>
      <c r="W32" s="154"/>
      <c r="X32" s="155"/>
      <c r="Y32" s="28">
        <f t="shared" si="27"/>
        <v>0</v>
      </c>
      <c r="Z32" s="28">
        <f t="shared" si="28"/>
        <v>0</v>
      </c>
      <c r="AA32" s="156">
        <f t="shared" si="29"/>
        <v>0</v>
      </c>
      <c r="AB32" s="28">
        <f t="shared" si="19"/>
        <v>0</v>
      </c>
      <c r="AC32" s="179">
        <f>IF(W32&lt;&gt;0,SUM($AA$22:$AA32),0)</f>
        <v>0</v>
      </c>
      <c r="AD32" s="29">
        <f t="shared" si="20"/>
        <v>0</v>
      </c>
    </row>
    <row r="33" spans="2:30" ht="15.75" customHeight="1" thickBot="1" x14ac:dyDescent="0.2">
      <c r="B33" s="157">
        <v>44531</v>
      </c>
      <c r="C33" s="158"/>
      <c r="D33" s="159"/>
      <c r="E33" s="34">
        <f t="shared" si="21"/>
        <v>0</v>
      </c>
      <c r="F33" s="34">
        <f t="shared" si="22"/>
        <v>0</v>
      </c>
      <c r="G33" s="160">
        <f t="shared" si="23"/>
        <v>0</v>
      </c>
      <c r="H33" s="34">
        <f t="shared" si="15"/>
        <v>0</v>
      </c>
      <c r="I33" s="169">
        <f>IF(C33&lt;&gt;0,SUM($G$22:$G33),0)</f>
        <v>0</v>
      </c>
      <c r="J33" s="35">
        <f t="shared" si="16"/>
        <v>0</v>
      </c>
      <c r="K33" s="30"/>
      <c r="L33" s="165">
        <v>44531</v>
      </c>
      <c r="M33" s="166"/>
      <c r="N33" s="167"/>
      <c r="O33" s="34">
        <f t="shared" si="24"/>
        <v>0</v>
      </c>
      <c r="P33" s="34">
        <f t="shared" si="25"/>
        <v>0</v>
      </c>
      <c r="Q33" s="160">
        <f t="shared" si="26"/>
        <v>0</v>
      </c>
      <c r="R33" s="34">
        <f t="shared" si="17"/>
        <v>0</v>
      </c>
      <c r="S33" s="169">
        <f>IF(M33&lt;&gt;0,SUM($Q$22:$Q33),0)</f>
        <v>0</v>
      </c>
      <c r="T33" s="35">
        <f t="shared" si="18"/>
        <v>0</v>
      </c>
      <c r="U33" s="30"/>
      <c r="V33" s="165">
        <v>44531</v>
      </c>
      <c r="W33" s="166"/>
      <c r="X33" s="167"/>
      <c r="Y33" s="34">
        <f t="shared" si="27"/>
        <v>0</v>
      </c>
      <c r="Z33" s="34">
        <f t="shared" si="28"/>
        <v>0</v>
      </c>
      <c r="AA33" s="160">
        <f t="shared" si="29"/>
        <v>0</v>
      </c>
      <c r="AB33" s="34">
        <f t="shared" si="19"/>
        <v>0</v>
      </c>
      <c r="AC33" s="169">
        <f>IF(W33&lt;&gt;0,SUM($AA$22:$AA33),0)</f>
        <v>0</v>
      </c>
      <c r="AD33" s="35">
        <f t="shared" si="20"/>
        <v>0</v>
      </c>
    </row>
    <row r="35" spans="2:30" ht="15" customHeight="1" x14ac:dyDescent="0.15">
      <c r="B35" s="178" t="s">
        <v>98</v>
      </c>
      <c r="C35" s="161">
        <v>400</v>
      </c>
      <c r="D35" s="235">
        <f>C35+C36</f>
        <v>800</v>
      </c>
      <c r="F35" s="36">
        <f>SUM(E22:E33)</f>
        <v>0.13382169334281999</v>
      </c>
      <c r="G35" s="162">
        <f>SUM(G22:G33)</f>
        <v>86.970000000000027</v>
      </c>
      <c r="L35" s="178" t="s">
        <v>98</v>
      </c>
      <c r="M35" s="161">
        <v>500</v>
      </c>
      <c r="N35" s="235">
        <f>M35+M36</f>
        <v>500</v>
      </c>
      <c r="P35" s="36">
        <f>SUM(O22:O33)</f>
        <v>0.13411970121099562</v>
      </c>
      <c r="Q35" s="162">
        <f>SUM(Q22:Q33)</f>
        <v>69.860000000000014</v>
      </c>
      <c r="V35" s="178" t="s">
        <v>98</v>
      </c>
      <c r="W35" s="161">
        <v>500</v>
      </c>
      <c r="X35" s="235">
        <f>W35+W36</f>
        <v>500</v>
      </c>
      <c r="Z35" s="36">
        <f>SUM(Y22:Y33)</f>
        <v>3.0216411942106974E-2</v>
      </c>
      <c r="AA35" s="162">
        <f>SUM(AA22:AA33)</f>
        <v>14.82000000000005</v>
      </c>
    </row>
    <row r="36" spans="2:30" ht="15" customHeight="1" x14ac:dyDescent="0.15">
      <c r="B36" s="178" t="s">
        <v>74</v>
      </c>
      <c r="C36" s="183">
        <f>SUM(D22:D33)</f>
        <v>400</v>
      </c>
      <c r="D36" s="207"/>
      <c r="L36" s="178" t="s">
        <v>74</v>
      </c>
      <c r="M36" s="183">
        <f>SUM(N22:N33)</f>
        <v>0</v>
      </c>
      <c r="N36" s="207"/>
      <c r="V36" s="178" t="s">
        <v>74</v>
      </c>
      <c r="W36" s="183">
        <f>SUM(X22:X33)</f>
        <v>0</v>
      </c>
      <c r="X36" s="207"/>
    </row>
    <row r="38" spans="2:30" ht="15" customHeight="1" x14ac:dyDescent="0.15">
      <c r="B38" s="231" t="s">
        <v>31</v>
      </c>
      <c r="C38" s="216"/>
      <c r="D38" s="216"/>
      <c r="E38" s="216"/>
      <c r="F38" s="216"/>
      <c r="G38" s="216"/>
      <c r="H38" s="216"/>
      <c r="I38" s="216"/>
      <c r="J38" s="217"/>
      <c r="L38" s="231" t="s">
        <v>100</v>
      </c>
      <c r="M38" s="216"/>
      <c r="N38" s="216"/>
      <c r="O38" s="216"/>
      <c r="P38" s="216"/>
      <c r="Q38" s="216"/>
      <c r="R38" s="216"/>
      <c r="S38" s="216"/>
      <c r="T38" s="217"/>
      <c r="V38" s="231" t="s">
        <v>101</v>
      </c>
      <c r="W38" s="216"/>
      <c r="X38" s="216"/>
      <c r="Y38" s="216"/>
      <c r="Z38" s="216"/>
      <c r="AA38" s="216"/>
      <c r="AB38" s="216"/>
      <c r="AC38" s="216"/>
      <c r="AD38" s="217"/>
    </row>
    <row r="39" spans="2:30" ht="45" customHeight="1" x14ac:dyDescent="0.15">
      <c r="B39" s="27" t="s">
        <v>92</v>
      </c>
      <c r="C39" s="182" t="s">
        <v>93</v>
      </c>
      <c r="D39" s="182" t="s">
        <v>94</v>
      </c>
      <c r="E39" s="182" t="s">
        <v>95</v>
      </c>
      <c r="F39" s="182" t="s">
        <v>96</v>
      </c>
      <c r="G39" s="232" t="s">
        <v>97</v>
      </c>
      <c r="H39" s="228"/>
      <c r="I39" s="233" t="s">
        <v>50</v>
      </c>
      <c r="J39" s="234"/>
      <c r="L39" s="27" t="s">
        <v>92</v>
      </c>
      <c r="M39" s="182" t="s">
        <v>93</v>
      </c>
      <c r="N39" s="182" t="s">
        <v>94</v>
      </c>
      <c r="O39" s="182" t="s">
        <v>95</v>
      </c>
      <c r="P39" s="182" t="s">
        <v>96</v>
      </c>
      <c r="Q39" s="232" t="s">
        <v>97</v>
      </c>
      <c r="R39" s="228"/>
      <c r="S39" s="233" t="s">
        <v>50</v>
      </c>
      <c r="T39" s="234"/>
      <c r="V39" s="27" t="s">
        <v>92</v>
      </c>
      <c r="W39" s="182" t="s">
        <v>93</v>
      </c>
      <c r="X39" s="182" t="s">
        <v>94</v>
      </c>
      <c r="Y39" s="182" t="s">
        <v>95</v>
      </c>
      <c r="Z39" s="182" t="s">
        <v>96</v>
      </c>
      <c r="AA39" s="232" t="s">
        <v>97</v>
      </c>
      <c r="AB39" s="228"/>
      <c r="AC39" s="233" t="s">
        <v>50</v>
      </c>
      <c r="AD39" s="234"/>
    </row>
    <row r="40" spans="2:30" ht="15" customHeight="1" x14ac:dyDescent="0.15">
      <c r="B40" s="153">
        <v>44197</v>
      </c>
      <c r="C40" s="154"/>
      <c r="D40" s="155"/>
      <c r="E40" s="28">
        <f>IF(C40&gt;0,IF((C53+D40)&gt;0,((C40)-(C53+D40))/(C53+D40),((C40)-($C$53+D40))/($C$53+D40)),0)</f>
        <v>0</v>
      </c>
      <c r="F40" s="28">
        <f>IF(E40&lt;&gt;0,(1+E40)*(1)-1,0)</f>
        <v>0</v>
      </c>
      <c r="G40" s="156">
        <f>IF(C40&lt;&gt;0,C40-$C$53-D40,0)</f>
        <v>0</v>
      </c>
      <c r="H40" s="28">
        <f t="shared" ref="H40:H51" si="30">IFERROR(G40/(C40-D40),0)</f>
        <v>0</v>
      </c>
      <c r="I40" s="179">
        <f>IF(C40&lt;&gt;0,SUM($G40),0)</f>
        <v>0</v>
      </c>
      <c r="J40" s="29">
        <f t="shared" ref="J40:J51" si="31">IF(C40&lt;&gt;0,IFERROR(I40/(C40-D40),0),0)</f>
        <v>0</v>
      </c>
      <c r="L40" s="153">
        <v>44197</v>
      </c>
      <c r="M40" s="154"/>
      <c r="N40" s="155"/>
      <c r="O40" s="28">
        <f>IF(M40&gt;0,IF((M53+N40)&gt;0,((M40)-(M53+N40))/(M53+N40),((M40)-($M$53+N40))/($C$53+N40)),0)</f>
        <v>0</v>
      </c>
      <c r="P40" s="28">
        <f>IF(O40&lt;&gt;0,(1+O40)*(1)-1,0)</f>
        <v>0</v>
      </c>
      <c r="Q40" s="156">
        <f>IF(M40&lt;&gt;0,M40-$C$53-N40,0)</f>
        <v>0</v>
      </c>
      <c r="R40" s="28">
        <f t="shared" ref="R40:R51" si="32">IFERROR(Q40/(M40-N40),0)</f>
        <v>0</v>
      </c>
      <c r="S40" s="179">
        <f>IF(M40&lt;&gt;0,SUM($Q40),0)</f>
        <v>0</v>
      </c>
      <c r="T40" s="29">
        <f t="shared" ref="T40:T51" si="33">IF(M40&lt;&gt;0,IFERROR(S40/(M40-N40),0),0)</f>
        <v>0</v>
      </c>
      <c r="V40" s="153">
        <v>44197</v>
      </c>
      <c r="W40" s="154"/>
      <c r="X40" s="155"/>
      <c r="Y40" s="28">
        <f>IF(W40&gt;0,IF((W53+X40)&gt;0,((W40)-(W53+X40))/(W53+X40),((W40)-($M$53+X40))/($C$53+X40)),0)</f>
        <v>0</v>
      </c>
      <c r="Z40" s="28">
        <f>IF(Y40&lt;&gt;0,(1+Y40)*(1)-1,0)</f>
        <v>0</v>
      </c>
      <c r="AA40" s="156">
        <f>IF(W40&lt;&gt;0,W40-$C$53-X40,0)</f>
        <v>0</v>
      </c>
      <c r="AB40" s="28">
        <f t="shared" ref="AB40:AB51" si="34">IFERROR(AA40/(W40-X40),0)</f>
        <v>0</v>
      </c>
      <c r="AC40" s="179">
        <f>IF(W40&lt;&gt;0,SUM(AA40),0)</f>
        <v>0</v>
      </c>
      <c r="AD40" s="29">
        <f t="shared" ref="AD40:AD51" si="35">IF(W40&lt;&gt;0,IFERROR(AC40/(W40-X40),0),0)</f>
        <v>0</v>
      </c>
    </row>
    <row r="41" spans="2:30" ht="15" customHeight="1" x14ac:dyDescent="0.15">
      <c r="B41" s="153">
        <v>44228</v>
      </c>
      <c r="C41" s="154"/>
      <c r="D41" s="155"/>
      <c r="E41" s="28">
        <f t="shared" ref="E41:E51" si="36">IF(C41&gt;0,IF(C40&gt;0,((C41)-(C40+D41))/(C40+D41),((C41)-($C$53+D41))/($C$53+D41)),0)</f>
        <v>0</v>
      </c>
      <c r="F41" s="28">
        <f t="shared" ref="F41:F51" si="37">IF(E41&lt;&gt;0,IF(F40&lt;&gt;0,(1+E41)*(F40+1)-1,E41),0)</f>
        <v>0</v>
      </c>
      <c r="G41" s="156">
        <f t="shared" ref="G41:G51" si="38">IF(C41&lt;&gt;0,IF(C40&lt;&gt;0,C41-C40-D41,C41-$C$53-D41),0)</f>
        <v>0</v>
      </c>
      <c r="H41" s="28">
        <f t="shared" si="30"/>
        <v>0</v>
      </c>
      <c r="I41" s="179">
        <f>IF(C41&lt;&gt;0,SUM($G$40:$G41),0)</f>
        <v>0</v>
      </c>
      <c r="J41" s="29">
        <f t="shared" si="31"/>
        <v>0</v>
      </c>
      <c r="L41" s="153">
        <v>44228</v>
      </c>
      <c r="M41" s="154"/>
      <c r="N41" s="155"/>
      <c r="O41" s="28">
        <f>IF(M41&gt;0,IF(M40&gt;0,((M41)-(M40+N41))/(M40+N41),((M41)-($M$53+N41))/($C$53+N41)),0)</f>
        <v>0</v>
      </c>
      <c r="P41" s="28">
        <f t="shared" ref="P41:P51" si="39">IF(O41&lt;&gt;0,IF(P40&lt;&gt;0,(1+O41)*(P40+1)-1,O41),0)</f>
        <v>0</v>
      </c>
      <c r="Q41" s="156">
        <f t="shared" ref="Q41:Q51" si="40">IF(M41&lt;&gt;0,IF(M40&lt;&gt;0,M41-M40-N41,M41-$M$53-N41),0)</f>
        <v>0</v>
      </c>
      <c r="R41" s="28">
        <f t="shared" si="32"/>
        <v>0</v>
      </c>
      <c r="S41" s="179">
        <f>IF(M41&lt;&gt;0,SUM($Q$40:$Q41),0)</f>
        <v>0</v>
      </c>
      <c r="T41" s="29">
        <f t="shared" si="33"/>
        <v>0</v>
      </c>
      <c r="V41" s="153">
        <v>44228</v>
      </c>
      <c r="W41" s="154"/>
      <c r="X41" s="155"/>
      <c r="Y41" s="28">
        <f>IF(W41&gt;0,IF(W40&gt;0,((W41)-(W40+X41))/(W40+X41),((W41)-($M$53+X41))/($C$53+X41)),0)</f>
        <v>0</v>
      </c>
      <c r="Z41" s="28">
        <f t="shared" ref="Z41:Z51" si="41">IF(Y41&lt;&gt;0,IF(Z40&lt;&gt;0,(1+Y41)*(Z40+1)-1,Y41),0)</f>
        <v>0</v>
      </c>
      <c r="AA41" s="156">
        <f t="shared" ref="AA41:AA51" si="42">IF(W41&lt;&gt;0,IF(W40&lt;&gt;0,W41-W40-X41,W41-$M$53-X41),0)</f>
        <v>0</v>
      </c>
      <c r="AB41" s="28">
        <f t="shared" si="34"/>
        <v>0</v>
      </c>
      <c r="AC41" s="179">
        <f>IF(W41&lt;&gt;0,SUM($AA$40:$AA41),0)</f>
        <v>0</v>
      </c>
      <c r="AD41" s="29">
        <f t="shared" si="35"/>
        <v>0</v>
      </c>
    </row>
    <row r="42" spans="2:30" ht="15" customHeight="1" x14ac:dyDescent="0.15">
      <c r="B42" s="153">
        <v>44256</v>
      </c>
      <c r="C42" s="154"/>
      <c r="D42" s="155"/>
      <c r="E42" s="28">
        <f t="shared" si="36"/>
        <v>0</v>
      </c>
      <c r="F42" s="28">
        <f t="shared" si="37"/>
        <v>0</v>
      </c>
      <c r="G42" s="156">
        <f t="shared" si="38"/>
        <v>0</v>
      </c>
      <c r="H42" s="28">
        <f t="shared" si="30"/>
        <v>0</v>
      </c>
      <c r="I42" s="179">
        <f>IF(C42&lt;&gt;0,SUM($G$40:$G42),0)</f>
        <v>0</v>
      </c>
      <c r="J42" s="29">
        <f t="shared" si="31"/>
        <v>0</v>
      </c>
      <c r="L42" s="153">
        <v>44256</v>
      </c>
      <c r="M42" s="154"/>
      <c r="N42" s="155"/>
      <c r="O42" s="28">
        <f>IF(M42&gt;0,IF(M41&gt;0,((M42)-(M41+N42))/(M41+N42),((M42)-($M$53+N42))/($C$53+N42)),0)</f>
        <v>0</v>
      </c>
      <c r="P42" s="28">
        <f t="shared" si="39"/>
        <v>0</v>
      </c>
      <c r="Q42" s="156">
        <f t="shared" si="40"/>
        <v>0</v>
      </c>
      <c r="R42" s="28">
        <f t="shared" si="32"/>
        <v>0</v>
      </c>
      <c r="S42" s="179">
        <f>IF(M42&lt;&gt;0,SUM($Q$40:$Q42),0)</f>
        <v>0</v>
      </c>
      <c r="T42" s="29">
        <f t="shared" si="33"/>
        <v>0</v>
      </c>
      <c r="V42" s="153">
        <v>44256</v>
      </c>
      <c r="W42" s="154"/>
      <c r="X42" s="155"/>
      <c r="Y42" s="28">
        <f>IF(W42&gt;0,IF(W41&gt;0,((W42)-(W41+X42))/(W41+X42),((W42)-($M$53+X42))/($C$53+X42)),0)</f>
        <v>0</v>
      </c>
      <c r="Z42" s="28">
        <f t="shared" si="41"/>
        <v>0</v>
      </c>
      <c r="AA42" s="156">
        <f t="shared" si="42"/>
        <v>0</v>
      </c>
      <c r="AB42" s="28">
        <f t="shared" si="34"/>
        <v>0</v>
      </c>
      <c r="AC42" s="179">
        <f>IF(W42&lt;&gt;0,SUM($AA$40:$AA42),0)</f>
        <v>0</v>
      </c>
      <c r="AD42" s="29">
        <f t="shared" si="35"/>
        <v>0</v>
      </c>
    </row>
    <row r="43" spans="2:30" ht="15" customHeight="1" x14ac:dyDescent="0.15">
      <c r="B43" s="153">
        <v>44287</v>
      </c>
      <c r="C43" s="154">
        <v>700</v>
      </c>
      <c r="D43" s="155">
        <v>700</v>
      </c>
      <c r="E43" s="28">
        <f t="shared" si="36"/>
        <v>0</v>
      </c>
      <c r="F43" s="28">
        <f t="shared" si="37"/>
        <v>0</v>
      </c>
      <c r="G43" s="156">
        <f t="shared" si="38"/>
        <v>0</v>
      </c>
      <c r="H43" s="28">
        <f t="shared" si="30"/>
        <v>0</v>
      </c>
      <c r="I43" s="179">
        <f>IF(C43&lt;&gt;0,SUM($G$40:$G43),0)</f>
        <v>0</v>
      </c>
      <c r="J43" s="29">
        <f t="shared" si="31"/>
        <v>0</v>
      </c>
      <c r="L43" s="153">
        <v>44287</v>
      </c>
      <c r="M43" s="154">
        <v>96.62</v>
      </c>
      <c r="N43" s="155">
        <v>100</v>
      </c>
      <c r="O43" s="28">
        <f t="shared" ref="O43:O51" si="43">IF(M43&gt;0,IF(M42&gt;0,((M43)-(M42+N43))/(M42+N43),((M43)-($C$53+N43))/($C$53+N43)),0)</f>
        <v>-3.3799999999999955E-2</v>
      </c>
      <c r="P43" s="28">
        <f t="shared" si="39"/>
        <v>-3.3799999999999955E-2</v>
      </c>
      <c r="Q43" s="156">
        <f t="shared" si="40"/>
        <v>-3.3799999999999955</v>
      </c>
      <c r="R43" s="28">
        <f t="shared" si="32"/>
        <v>1</v>
      </c>
      <c r="S43" s="179">
        <f>IF(M43&lt;&gt;0,SUM($Q$40:$Q43),0)</f>
        <v>-3.3799999999999955</v>
      </c>
      <c r="T43" s="29">
        <f t="shared" si="33"/>
        <v>1</v>
      </c>
      <c r="V43" s="153">
        <v>44287</v>
      </c>
      <c r="W43" s="154">
        <v>47</v>
      </c>
      <c r="X43" s="155">
        <v>50</v>
      </c>
      <c r="Y43" s="28">
        <f t="shared" ref="Y43:Y51" si="44">IF(W43&gt;0,IF(W42&gt;0,((W43)-(W42+X43))/(W42+X43),((W43)-($C$53+X43))/($C$53+X43)),0)</f>
        <v>-0.06</v>
      </c>
      <c r="Z43" s="28">
        <f t="shared" si="41"/>
        <v>-0.06</v>
      </c>
      <c r="AA43" s="156">
        <f t="shared" si="42"/>
        <v>-3</v>
      </c>
      <c r="AB43" s="28">
        <f t="shared" si="34"/>
        <v>1</v>
      </c>
      <c r="AC43" s="179">
        <f>IF(W43&lt;&gt;0,SUM($AA$40:$AA43),0)</f>
        <v>-3</v>
      </c>
      <c r="AD43" s="29">
        <f t="shared" si="35"/>
        <v>1</v>
      </c>
    </row>
    <row r="44" spans="2:30" ht="15" customHeight="1" x14ac:dyDescent="0.15">
      <c r="B44" s="153">
        <v>44317</v>
      </c>
      <c r="C44" s="154">
        <v>806.76</v>
      </c>
      <c r="D44" s="155">
        <v>100</v>
      </c>
      <c r="E44" s="28">
        <f t="shared" si="36"/>
        <v>8.4499999999999888E-3</v>
      </c>
      <c r="F44" s="28">
        <f t="shared" si="37"/>
        <v>8.4499999999999888E-3</v>
      </c>
      <c r="G44" s="156">
        <f t="shared" si="38"/>
        <v>6.7599999999999909</v>
      </c>
      <c r="H44" s="28">
        <f t="shared" si="30"/>
        <v>9.5647744637500573E-3</v>
      </c>
      <c r="I44" s="179">
        <f>IF(C44&lt;&gt;0,SUM($G$40:$G44),0)</f>
        <v>6.7599999999999909</v>
      </c>
      <c r="J44" s="29">
        <f t="shared" si="31"/>
        <v>9.5647744637500573E-3</v>
      </c>
      <c r="L44" s="153">
        <v>44317</v>
      </c>
      <c r="M44" s="154">
        <v>99.16</v>
      </c>
      <c r="N44" s="155"/>
      <c r="O44" s="28">
        <f t="shared" si="43"/>
        <v>2.6288553094597308E-2</v>
      </c>
      <c r="P44" s="28">
        <f t="shared" si="39"/>
        <v>-8.3999999999999631E-3</v>
      </c>
      <c r="Q44" s="156">
        <f t="shared" si="40"/>
        <v>2.539999999999992</v>
      </c>
      <c r="R44" s="28">
        <f t="shared" si="32"/>
        <v>2.5615167406212103E-2</v>
      </c>
      <c r="S44" s="179">
        <f>IF(M44&lt;&gt;0,SUM($Q$40:$Q44),0)</f>
        <v>-0.84000000000000341</v>
      </c>
      <c r="T44" s="29">
        <f t="shared" si="33"/>
        <v>-8.4711577248891036E-3</v>
      </c>
      <c r="V44" s="153">
        <v>44317</v>
      </c>
      <c r="W44" s="154">
        <v>46.87</v>
      </c>
      <c r="X44" s="155"/>
      <c r="Y44" s="28">
        <f t="shared" si="44"/>
        <v>-2.7659574468085649E-3</v>
      </c>
      <c r="Z44" s="28">
        <f t="shared" si="41"/>
        <v>-6.26000000000001E-2</v>
      </c>
      <c r="AA44" s="156">
        <f t="shared" si="42"/>
        <v>-0.13000000000000256</v>
      </c>
      <c r="AB44" s="28">
        <f t="shared" si="34"/>
        <v>-2.7736291871133466E-3</v>
      </c>
      <c r="AC44" s="179">
        <f>IF(W44&lt;&gt;0,SUM($AA$40:$AA44),0)</f>
        <v>-3.1300000000000026</v>
      </c>
      <c r="AD44" s="29">
        <f t="shared" si="35"/>
        <v>-6.6780456582035477E-2</v>
      </c>
    </row>
    <row r="45" spans="2:30" ht="15" customHeight="1" x14ac:dyDescent="0.15">
      <c r="B45" s="153">
        <v>44348</v>
      </c>
      <c r="C45" s="154">
        <v>812.51</v>
      </c>
      <c r="D45" s="155"/>
      <c r="E45" s="28">
        <f t="shared" si="36"/>
        <v>7.1272745302196445E-3</v>
      </c>
      <c r="F45" s="28">
        <f t="shared" si="37"/>
        <v>1.5637499999999971E-2</v>
      </c>
      <c r="G45" s="156">
        <f t="shared" si="38"/>
        <v>5.75</v>
      </c>
      <c r="H45" s="28">
        <f t="shared" si="30"/>
        <v>7.0768359774033554E-3</v>
      </c>
      <c r="I45" s="179">
        <f>IF(C45&lt;&gt;0,SUM($G$40:$G45),0)</f>
        <v>12.509999999999991</v>
      </c>
      <c r="J45" s="29">
        <f t="shared" si="31"/>
        <v>1.5396733578663635E-2</v>
      </c>
      <c r="L45" s="153">
        <v>44348</v>
      </c>
      <c r="M45" s="154">
        <v>88.19</v>
      </c>
      <c r="N45" s="155"/>
      <c r="O45" s="28">
        <f t="shared" si="43"/>
        <v>-0.11062928600242032</v>
      </c>
      <c r="P45" s="28">
        <f t="shared" si="39"/>
        <v>-0.11809999999999987</v>
      </c>
      <c r="Q45" s="156">
        <f t="shared" si="40"/>
        <v>-10.969999999999999</v>
      </c>
      <c r="R45" s="28">
        <f t="shared" si="32"/>
        <v>-0.12439052046717314</v>
      </c>
      <c r="S45" s="179">
        <f>IF(M45&lt;&gt;0,SUM($Q$40:$Q45),0)</f>
        <v>-11.810000000000002</v>
      </c>
      <c r="T45" s="29">
        <f t="shared" si="33"/>
        <v>-0.13391540991042072</v>
      </c>
      <c r="V45" s="153">
        <v>44348</v>
      </c>
      <c r="W45" s="154">
        <v>39.75</v>
      </c>
      <c r="X45" s="155"/>
      <c r="Y45" s="28">
        <f t="shared" si="44"/>
        <v>-0.1519095370172818</v>
      </c>
      <c r="Z45" s="28">
        <f t="shared" si="41"/>
        <v>-0.20500000000000007</v>
      </c>
      <c r="AA45" s="156">
        <f t="shared" si="42"/>
        <v>-7.1199999999999974</v>
      </c>
      <c r="AB45" s="28">
        <f t="shared" si="34"/>
        <v>-0.17911949685534584</v>
      </c>
      <c r="AC45" s="179">
        <f>IF(W45&lt;&gt;0,SUM($AA$40:$AA45),0)</f>
        <v>-10.25</v>
      </c>
      <c r="AD45" s="29">
        <f t="shared" si="35"/>
        <v>-0.25786163522012578</v>
      </c>
    </row>
    <row r="46" spans="2:30" ht="15" customHeight="1" x14ac:dyDescent="0.15">
      <c r="B46" s="153">
        <v>44378</v>
      </c>
      <c r="C46" s="154"/>
      <c r="D46" s="155"/>
      <c r="E46" s="28">
        <f t="shared" si="36"/>
        <v>0</v>
      </c>
      <c r="F46" s="28">
        <f t="shared" si="37"/>
        <v>0</v>
      </c>
      <c r="G46" s="156">
        <f t="shared" si="38"/>
        <v>0</v>
      </c>
      <c r="H46" s="28">
        <f t="shared" si="30"/>
        <v>0</v>
      </c>
      <c r="I46" s="179">
        <f>IF(C46&lt;&gt;0,SUM($G$40:$G46),0)</f>
        <v>0</v>
      </c>
      <c r="J46" s="29">
        <f t="shared" si="31"/>
        <v>0</v>
      </c>
      <c r="L46" s="153">
        <v>44378</v>
      </c>
      <c r="M46" s="154"/>
      <c r="N46" s="155"/>
      <c r="O46" s="28">
        <f t="shared" si="43"/>
        <v>0</v>
      </c>
      <c r="P46" s="28">
        <f t="shared" si="39"/>
        <v>0</v>
      </c>
      <c r="Q46" s="156">
        <f t="shared" si="40"/>
        <v>0</v>
      </c>
      <c r="R46" s="28">
        <f t="shared" si="32"/>
        <v>0</v>
      </c>
      <c r="S46" s="179">
        <f>IF(M46&lt;&gt;0,SUM($Q$40:$Q46),0)</f>
        <v>0</v>
      </c>
      <c r="T46" s="29">
        <f t="shared" si="33"/>
        <v>0</v>
      </c>
      <c r="V46" s="153">
        <v>44378</v>
      </c>
      <c r="W46" s="154"/>
      <c r="X46" s="155"/>
      <c r="Y46" s="28">
        <f t="shared" si="44"/>
        <v>0</v>
      </c>
      <c r="Z46" s="28">
        <f t="shared" si="41"/>
        <v>0</v>
      </c>
      <c r="AA46" s="156">
        <f t="shared" si="42"/>
        <v>0</v>
      </c>
      <c r="AB46" s="28">
        <f t="shared" si="34"/>
        <v>0</v>
      </c>
      <c r="AC46" s="179">
        <f>IF(W46&lt;&gt;0,SUM($AA$40:$AA46),0)</f>
        <v>0</v>
      </c>
      <c r="AD46" s="29">
        <f t="shared" si="35"/>
        <v>0</v>
      </c>
    </row>
    <row r="47" spans="2:30" ht="15" customHeight="1" x14ac:dyDescent="0.15">
      <c r="B47" s="153">
        <v>44409</v>
      </c>
      <c r="C47" s="154"/>
      <c r="D47" s="155"/>
      <c r="E47" s="28">
        <f t="shared" si="36"/>
        <v>0</v>
      </c>
      <c r="F47" s="28">
        <f t="shared" si="37"/>
        <v>0</v>
      </c>
      <c r="G47" s="156">
        <f t="shared" si="38"/>
        <v>0</v>
      </c>
      <c r="H47" s="28">
        <f t="shared" si="30"/>
        <v>0</v>
      </c>
      <c r="I47" s="179">
        <f>IF(C47&lt;&gt;0,SUM($G$40:$G47),0)</f>
        <v>0</v>
      </c>
      <c r="J47" s="29">
        <f t="shared" si="31"/>
        <v>0</v>
      </c>
      <c r="L47" s="153">
        <v>44409</v>
      </c>
      <c r="M47" s="154"/>
      <c r="N47" s="155"/>
      <c r="O47" s="28">
        <f t="shared" si="43"/>
        <v>0</v>
      </c>
      <c r="P47" s="28">
        <f t="shared" si="39"/>
        <v>0</v>
      </c>
      <c r="Q47" s="156">
        <f t="shared" si="40"/>
        <v>0</v>
      </c>
      <c r="R47" s="28">
        <f t="shared" si="32"/>
        <v>0</v>
      </c>
      <c r="S47" s="179">
        <f>IF(M47&lt;&gt;0,SUM($Q$40:$Q47),0)</f>
        <v>0</v>
      </c>
      <c r="T47" s="29">
        <f t="shared" si="33"/>
        <v>0</v>
      </c>
      <c r="V47" s="153">
        <v>44409</v>
      </c>
      <c r="W47" s="154"/>
      <c r="X47" s="155"/>
      <c r="Y47" s="28">
        <f t="shared" si="44"/>
        <v>0</v>
      </c>
      <c r="Z47" s="28">
        <f t="shared" si="41"/>
        <v>0</v>
      </c>
      <c r="AA47" s="156">
        <f t="shared" si="42"/>
        <v>0</v>
      </c>
      <c r="AB47" s="28">
        <f t="shared" si="34"/>
        <v>0</v>
      </c>
      <c r="AC47" s="179">
        <f>IF(W47&lt;&gt;0,SUM($AA$40:$AA47),0)</f>
        <v>0</v>
      </c>
      <c r="AD47" s="29">
        <f t="shared" si="35"/>
        <v>0</v>
      </c>
    </row>
    <row r="48" spans="2:30" ht="15" customHeight="1" x14ac:dyDescent="0.15">
      <c r="B48" s="153">
        <v>44440</v>
      </c>
      <c r="C48" s="154"/>
      <c r="D48" s="155"/>
      <c r="E48" s="28">
        <f t="shared" si="36"/>
        <v>0</v>
      </c>
      <c r="F48" s="28">
        <f t="shared" si="37"/>
        <v>0</v>
      </c>
      <c r="G48" s="156">
        <f t="shared" si="38"/>
        <v>0</v>
      </c>
      <c r="H48" s="28">
        <f t="shared" si="30"/>
        <v>0</v>
      </c>
      <c r="I48" s="179">
        <f>IF(C48&lt;&gt;0,SUM($G$40:$G48),0)</f>
        <v>0</v>
      </c>
      <c r="J48" s="29">
        <f t="shared" si="31"/>
        <v>0</v>
      </c>
      <c r="L48" s="153">
        <v>44440</v>
      </c>
      <c r="M48" s="154"/>
      <c r="N48" s="155"/>
      <c r="O48" s="28">
        <f t="shared" si="43"/>
        <v>0</v>
      </c>
      <c r="P48" s="28">
        <f t="shared" si="39"/>
        <v>0</v>
      </c>
      <c r="Q48" s="156">
        <f t="shared" si="40"/>
        <v>0</v>
      </c>
      <c r="R48" s="28">
        <f t="shared" si="32"/>
        <v>0</v>
      </c>
      <c r="S48" s="179">
        <f>IF(M48&lt;&gt;0,SUM($Q$40:$Q48),0)</f>
        <v>0</v>
      </c>
      <c r="T48" s="29">
        <f t="shared" si="33"/>
        <v>0</v>
      </c>
      <c r="V48" s="153">
        <v>44440</v>
      </c>
      <c r="W48" s="154"/>
      <c r="X48" s="155"/>
      <c r="Y48" s="28">
        <f t="shared" si="44"/>
        <v>0</v>
      </c>
      <c r="Z48" s="28">
        <f t="shared" si="41"/>
        <v>0</v>
      </c>
      <c r="AA48" s="156">
        <f t="shared" si="42"/>
        <v>0</v>
      </c>
      <c r="AB48" s="28">
        <f t="shared" si="34"/>
        <v>0</v>
      </c>
      <c r="AC48" s="179">
        <f>IF(W48&lt;&gt;0,SUM($AA$40:$AA48),0)</f>
        <v>0</v>
      </c>
      <c r="AD48" s="29">
        <f t="shared" si="35"/>
        <v>0</v>
      </c>
    </row>
    <row r="49" spans="2:30" ht="15" customHeight="1" x14ac:dyDescent="0.15">
      <c r="B49" s="153">
        <v>44470</v>
      </c>
      <c r="C49" s="154"/>
      <c r="D49" s="155"/>
      <c r="E49" s="28">
        <f t="shared" si="36"/>
        <v>0</v>
      </c>
      <c r="F49" s="28">
        <f t="shared" si="37"/>
        <v>0</v>
      </c>
      <c r="G49" s="156">
        <f t="shared" si="38"/>
        <v>0</v>
      </c>
      <c r="H49" s="28">
        <f t="shared" si="30"/>
        <v>0</v>
      </c>
      <c r="I49" s="179">
        <f>IF(C49&lt;&gt;0,SUM($G$40:$G49),0)</f>
        <v>0</v>
      </c>
      <c r="J49" s="29">
        <f t="shared" si="31"/>
        <v>0</v>
      </c>
      <c r="L49" s="153">
        <v>44470</v>
      </c>
      <c r="M49" s="154"/>
      <c r="N49" s="155"/>
      <c r="O49" s="28">
        <f t="shared" si="43"/>
        <v>0</v>
      </c>
      <c r="P49" s="28">
        <f t="shared" si="39"/>
        <v>0</v>
      </c>
      <c r="Q49" s="156">
        <f t="shared" si="40"/>
        <v>0</v>
      </c>
      <c r="R49" s="28">
        <f t="shared" si="32"/>
        <v>0</v>
      </c>
      <c r="S49" s="179">
        <f>IF(M49&lt;&gt;0,SUM($Q$40:$Q49),0)</f>
        <v>0</v>
      </c>
      <c r="T49" s="29">
        <f t="shared" si="33"/>
        <v>0</v>
      </c>
      <c r="V49" s="153">
        <v>44470</v>
      </c>
      <c r="W49" s="154"/>
      <c r="X49" s="155"/>
      <c r="Y49" s="28">
        <f t="shared" si="44"/>
        <v>0</v>
      </c>
      <c r="Z49" s="28">
        <f t="shared" si="41"/>
        <v>0</v>
      </c>
      <c r="AA49" s="156">
        <f t="shared" si="42"/>
        <v>0</v>
      </c>
      <c r="AB49" s="28">
        <f t="shared" si="34"/>
        <v>0</v>
      </c>
      <c r="AC49" s="179">
        <f>IF(W49&lt;&gt;0,SUM($AA$40:$AA49),0)</f>
        <v>0</v>
      </c>
      <c r="AD49" s="29">
        <f t="shared" si="35"/>
        <v>0</v>
      </c>
    </row>
    <row r="50" spans="2:30" ht="15" customHeight="1" x14ac:dyDescent="0.15">
      <c r="B50" s="153">
        <v>44501</v>
      </c>
      <c r="C50" s="154"/>
      <c r="D50" s="155"/>
      <c r="E50" s="28">
        <f t="shared" si="36"/>
        <v>0</v>
      </c>
      <c r="F50" s="28">
        <f t="shared" si="37"/>
        <v>0</v>
      </c>
      <c r="G50" s="156">
        <f t="shared" si="38"/>
        <v>0</v>
      </c>
      <c r="H50" s="28">
        <f t="shared" si="30"/>
        <v>0</v>
      </c>
      <c r="I50" s="179">
        <f>IF(C50&lt;&gt;0,SUM($G$40:$G50),0)</f>
        <v>0</v>
      </c>
      <c r="J50" s="29">
        <f t="shared" si="31"/>
        <v>0</v>
      </c>
      <c r="L50" s="153">
        <v>44501</v>
      </c>
      <c r="M50" s="154"/>
      <c r="N50" s="155"/>
      <c r="O50" s="28">
        <f t="shared" si="43"/>
        <v>0</v>
      </c>
      <c r="P50" s="28">
        <f t="shared" si="39"/>
        <v>0</v>
      </c>
      <c r="Q50" s="156">
        <f t="shared" si="40"/>
        <v>0</v>
      </c>
      <c r="R50" s="28">
        <f t="shared" si="32"/>
        <v>0</v>
      </c>
      <c r="S50" s="179">
        <f>IF(M50&lt;&gt;0,SUM($Q$40:$Q50),0)</f>
        <v>0</v>
      </c>
      <c r="T50" s="29">
        <f t="shared" si="33"/>
        <v>0</v>
      </c>
      <c r="V50" s="153">
        <v>44501</v>
      </c>
      <c r="W50" s="154"/>
      <c r="X50" s="155"/>
      <c r="Y50" s="28">
        <f t="shared" si="44"/>
        <v>0</v>
      </c>
      <c r="Z50" s="28">
        <f t="shared" si="41"/>
        <v>0</v>
      </c>
      <c r="AA50" s="156">
        <f t="shared" si="42"/>
        <v>0</v>
      </c>
      <c r="AB50" s="28">
        <f t="shared" si="34"/>
        <v>0</v>
      </c>
      <c r="AC50" s="179">
        <f>IF(W50&lt;&gt;0,SUM($AA$40:$AA50),0)</f>
        <v>0</v>
      </c>
      <c r="AD50" s="29">
        <f t="shared" si="35"/>
        <v>0</v>
      </c>
    </row>
    <row r="51" spans="2:30" ht="15" customHeight="1" x14ac:dyDescent="0.15">
      <c r="B51" s="165">
        <v>44531</v>
      </c>
      <c r="C51" s="166"/>
      <c r="D51" s="159"/>
      <c r="E51" s="34">
        <f t="shared" si="36"/>
        <v>0</v>
      </c>
      <c r="F51" s="34">
        <f t="shared" si="37"/>
        <v>0</v>
      </c>
      <c r="G51" s="160">
        <f t="shared" si="38"/>
        <v>0</v>
      </c>
      <c r="H51" s="34">
        <f t="shared" si="30"/>
        <v>0</v>
      </c>
      <c r="I51" s="169">
        <f>IF(C51&lt;&gt;0,SUM($G$40:$G51),0)</f>
        <v>0</v>
      </c>
      <c r="J51" s="35">
        <f t="shared" si="31"/>
        <v>0</v>
      </c>
      <c r="L51" s="165">
        <v>44531</v>
      </c>
      <c r="M51" s="166"/>
      <c r="N51" s="159"/>
      <c r="O51" s="34">
        <f t="shared" si="43"/>
        <v>0</v>
      </c>
      <c r="P51" s="34">
        <f t="shared" si="39"/>
        <v>0</v>
      </c>
      <c r="Q51" s="160">
        <f t="shared" si="40"/>
        <v>0</v>
      </c>
      <c r="R51" s="34">
        <f t="shared" si="32"/>
        <v>0</v>
      </c>
      <c r="S51" s="169">
        <f>IF(M51&lt;&gt;0,SUM($Q$40:$Q51),0)</f>
        <v>0</v>
      </c>
      <c r="T51" s="35">
        <f t="shared" si="33"/>
        <v>0</v>
      </c>
      <c r="V51" s="165">
        <v>44531</v>
      </c>
      <c r="W51" s="166"/>
      <c r="X51" s="159"/>
      <c r="Y51" s="34">
        <f t="shared" si="44"/>
        <v>0</v>
      </c>
      <c r="Z51" s="34">
        <f t="shared" si="41"/>
        <v>0</v>
      </c>
      <c r="AA51" s="160">
        <f t="shared" si="42"/>
        <v>0</v>
      </c>
      <c r="AB51" s="31">
        <f t="shared" si="34"/>
        <v>0</v>
      </c>
      <c r="AC51" s="170">
        <f>IF(W51&lt;&gt;0,SUM($AA$40:$AA51),0)</f>
        <v>0</v>
      </c>
      <c r="AD51" s="37">
        <f t="shared" si="35"/>
        <v>0</v>
      </c>
    </row>
    <row r="53" spans="2:30" ht="15" customHeight="1" x14ac:dyDescent="0.15">
      <c r="B53" s="178" t="s">
        <v>98</v>
      </c>
      <c r="C53" s="161"/>
      <c r="D53" s="235">
        <f>C53+C54</f>
        <v>800</v>
      </c>
      <c r="F53" s="36">
        <f>SUM(E40:E51)</f>
        <v>1.5577274530219634E-2</v>
      </c>
      <c r="G53" s="162">
        <f>SUM(G40:G51)</f>
        <v>12.509999999999991</v>
      </c>
      <c r="L53" s="178" t="s">
        <v>98</v>
      </c>
      <c r="M53" s="161"/>
      <c r="N53" s="235">
        <f>M53+M54</f>
        <v>100</v>
      </c>
      <c r="P53" s="36">
        <f>SUM(O40:O51)</f>
        <v>-0.11814073290782297</v>
      </c>
      <c r="Q53" s="162">
        <f>SUM(Q40:Q51)</f>
        <v>-11.810000000000002</v>
      </c>
      <c r="V53" s="178" t="s">
        <v>98</v>
      </c>
      <c r="W53" s="161"/>
      <c r="X53" s="235">
        <f>W53+W54</f>
        <v>50</v>
      </c>
      <c r="Z53" s="36">
        <f>SUM(Y40:Y51)</f>
        <v>-0.21467549446409034</v>
      </c>
      <c r="AA53" s="162">
        <f>SUM(AA40:AA51)</f>
        <v>-10.25</v>
      </c>
    </row>
    <row r="54" spans="2:30" ht="15" customHeight="1" x14ac:dyDescent="0.15">
      <c r="B54" s="178" t="s">
        <v>74</v>
      </c>
      <c r="C54" s="183">
        <f>SUM(D40:D51)</f>
        <v>800</v>
      </c>
      <c r="D54" s="207"/>
      <c r="L54" s="178" t="s">
        <v>74</v>
      </c>
      <c r="M54" s="183">
        <f>SUM(N40:N51)</f>
        <v>100</v>
      </c>
      <c r="N54" s="207"/>
      <c r="V54" s="178" t="s">
        <v>74</v>
      </c>
      <c r="W54" s="183">
        <f>SUM(X40:X51)</f>
        <v>50</v>
      </c>
      <c r="X54" s="207"/>
    </row>
    <row r="211" spans="3:3" x14ac:dyDescent="0.15">
      <c r="C211" s="176">
        <v>634.96</v>
      </c>
    </row>
  </sheetData>
  <mergeCells count="36">
    <mergeCell ref="X17:X18"/>
    <mergeCell ref="L20:T20"/>
    <mergeCell ref="V20:AD20"/>
    <mergeCell ref="X35:X36"/>
    <mergeCell ref="AA21:AB21"/>
    <mergeCell ref="AC21:AD21"/>
    <mergeCell ref="N17:N18"/>
    <mergeCell ref="N35:N36"/>
    <mergeCell ref="Q21:R21"/>
    <mergeCell ref="S21:T21"/>
    <mergeCell ref="L2:T2"/>
    <mergeCell ref="V2:AD2"/>
    <mergeCell ref="G3:H3"/>
    <mergeCell ref="I3:J3"/>
    <mergeCell ref="Q3:R3"/>
    <mergeCell ref="S3:T3"/>
    <mergeCell ref="AA3:AB3"/>
    <mergeCell ref="AC3:AD3"/>
    <mergeCell ref="B2:J2"/>
    <mergeCell ref="D17:D18"/>
    <mergeCell ref="D35:D36"/>
    <mergeCell ref="B20:J20"/>
    <mergeCell ref="G21:H21"/>
    <mergeCell ref="I21:J21"/>
    <mergeCell ref="AC39:AD39"/>
    <mergeCell ref="X53:X54"/>
    <mergeCell ref="B38:J38"/>
    <mergeCell ref="G39:H39"/>
    <mergeCell ref="I39:J39"/>
    <mergeCell ref="D53:D54"/>
    <mergeCell ref="L38:T38"/>
    <mergeCell ref="Q39:R39"/>
    <mergeCell ref="S39:T39"/>
    <mergeCell ref="N53:N54"/>
    <mergeCell ref="V38:AD38"/>
    <mergeCell ref="AA39:AB39"/>
  </mergeCells>
  <conditionalFormatting sqref="B4:B15 L4:L15 V4:V15 B22:B33 L22:L33 V22:V33">
    <cfRule type="cellIs" dxfId="33" priority="16" operator="equal">
      <formula>#REF!</formula>
    </cfRule>
  </conditionalFormatting>
  <conditionalFormatting sqref="E4:J15 O4:T15 Y4:AD15 E22:J33 O22:T33 Y22:AD33">
    <cfRule type="cellIs" dxfId="32" priority="17" operator="greaterThanOrEqual">
      <formula>0</formula>
    </cfRule>
    <cfRule type="cellIs" dxfId="31" priority="18" operator="lessThan">
      <formula>0</formula>
    </cfRule>
  </conditionalFormatting>
  <conditionalFormatting sqref="G4:G15 I4:I15 Q4:Q15 S4:S15 AA4:AA15 AC4:AC15 G22:G33 I22:I33 Q22:Q33 S22:S33 AA22:AA33 AC22:AC33">
    <cfRule type="cellIs" dxfId="30" priority="19" operator="greaterThan">
      <formula>0</formula>
    </cfRule>
    <cfRule type="cellIs" dxfId="29" priority="20" operator="lessThan">
      <formula>0</formula>
    </cfRule>
  </conditionalFormatting>
  <conditionalFormatting sqref="B40:B51">
    <cfRule type="cellIs" dxfId="28" priority="11" operator="equal">
      <formula>#REF!</formula>
    </cfRule>
  </conditionalFormatting>
  <conditionalFormatting sqref="E40:J51">
    <cfRule type="cellIs" dxfId="27" priority="12" operator="greaterThanOrEqual">
      <formula>0</formula>
    </cfRule>
    <cfRule type="cellIs" dxfId="26" priority="13" operator="lessThan">
      <formula>0</formula>
    </cfRule>
  </conditionalFormatting>
  <conditionalFormatting sqref="G40:G51 I40:I51">
    <cfRule type="cellIs" dxfId="25" priority="14" operator="greaterThan">
      <formula>0</formula>
    </cfRule>
    <cfRule type="cellIs" dxfId="24" priority="15" operator="lessThan">
      <formula>0</formula>
    </cfRule>
  </conditionalFormatting>
  <conditionalFormatting sqref="L40:L51">
    <cfRule type="cellIs" dxfId="23" priority="6" operator="equal">
      <formula>#REF!</formula>
    </cfRule>
  </conditionalFormatting>
  <conditionalFormatting sqref="O40:T51">
    <cfRule type="cellIs" dxfId="22" priority="7" operator="greaterThanOrEqual">
      <formula>0</formula>
    </cfRule>
    <cfRule type="cellIs" dxfId="21" priority="8" operator="lessThan">
      <formula>0</formula>
    </cfRule>
  </conditionalFormatting>
  <conditionalFormatting sqref="Q40:Q51 S40:S51">
    <cfRule type="cellIs" dxfId="20" priority="9" operator="greaterThan">
      <formula>0</formula>
    </cfRule>
    <cfRule type="cellIs" dxfId="19" priority="10" operator="lessThan">
      <formula>0</formula>
    </cfRule>
  </conditionalFormatting>
  <conditionalFormatting sqref="V40:V51">
    <cfRule type="cellIs" dxfId="18" priority="1" operator="equal">
      <formula>#REF!</formula>
    </cfRule>
  </conditionalFormatting>
  <conditionalFormatting sqref="Y40:AD51">
    <cfRule type="cellIs" dxfId="17" priority="2" operator="greaterThanOrEqual">
      <formula>0</formula>
    </cfRule>
    <cfRule type="cellIs" dxfId="16" priority="3" operator="lessThan">
      <formula>0</formula>
    </cfRule>
  </conditionalFormatting>
  <conditionalFormatting sqref="AA40:AA51 AC40:AC51">
    <cfRule type="cellIs" dxfId="15" priority="4" operator="greaterThan">
      <formula>0</formula>
    </cfRule>
    <cfRule type="cellIs" dxfId="14" priority="5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outlinePr summaryBelow="0" summaryRight="0"/>
  </sheetPr>
  <dimension ref="A1:T998"/>
  <sheetViews>
    <sheetView workbookViewId="0">
      <selection activeCell="F8" sqref="F8"/>
    </sheetView>
  </sheetViews>
  <sheetFormatPr baseColWidth="10" defaultColWidth="14.5" defaultRowHeight="15.75" customHeight="1" x14ac:dyDescent="0.15"/>
  <cols>
    <col min="1" max="1" width="6.6640625" style="74" customWidth="1"/>
    <col min="2" max="2" width="10.5" style="74" customWidth="1"/>
    <col min="3" max="3" width="17.83203125" style="74" customWidth="1"/>
    <col min="4" max="4" width="10.33203125" style="74" customWidth="1"/>
    <col min="5" max="5" width="6.1640625" style="74" customWidth="1"/>
    <col min="6" max="6" width="10.1640625" style="74" customWidth="1"/>
    <col min="7" max="7" width="9" style="74" customWidth="1"/>
    <col min="8" max="8" width="4" style="74" customWidth="1"/>
    <col min="9" max="9" width="16" style="74" customWidth="1"/>
    <col min="10" max="10" width="10.33203125" style="74" customWidth="1"/>
    <col min="11" max="11" width="6.83203125" style="74" customWidth="1"/>
    <col min="12" max="12" width="6.5" style="74" customWidth="1"/>
    <col min="13" max="13" width="9.33203125" style="74" customWidth="1"/>
    <col min="14" max="14" width="10.1640625" style="74" customWidth="1"/>
  </cols>
  <sheetData>
    <row r="1" spans="3:17" ht="15.75" customHeight="1" x14ac:dyDescent="0.2">
      <c r="J1" s="171"/>
    </row>
    <row r="2" spans="3:17" ht="15.75" customHeight="1" x14ac:dyDescent="0.2">
      <c r="D2" s="3">
        <v>43712</v>
      </c>
      <c r="E2" s="2" t="s">
        <v>102</v>
      </c>
      <c r="J2" s="171"/>
    </row>
    <row r="3" spans="3:17" ht="15.75" customHeight="1" x14ac:dyDescent="0.2">
      <c r="D3" s="3">
        <v>43621</v>
      </c>
      <c r="E3" s="2" t="s">
        <v>103</v>
      </c>
      <c r="J3" s="171"/>
      <c r="Q3" s="171"/>
    </row>
    <row r="4" spans="3:17" ht="15.75" customHeight="1" x14ac:dyDescent="0.2">
      <c r="J4" s="171"/>
      <c r="Q4" s="171"/>
    </row>
    <row r="5" spans="3:17" ht="15.75" customHeight="1" x14ac:dyDescent="0.2">
      <c r="J5" s="171"/>
    </row>
    <row r="6" spans="3:17" ht="15.75" customHeight="1" x14ac:dyDescent="0.2">
      <c r="J6" s="171"/>
    </row>
    <row r="7" spans="3:17" ht="15.75" customHeight="1" x14ac:dyDescent="0.2">
      <c r="E7" s="2"/>
      <c r="J7" s="171"/>
    </row>
    <row r="13" spans="3:17" ht="15.75" customHeight="1" x14ac:dyDescent="0.15">
      <c r="C13" s="172"/>
    </row>
    <row r="14" spans="3:17" ht="15.75" customHeight="1" x14ac:dyDescent="0.2">
      <c r="C14" s="172"/>
      <c r="J14" s="171"/>
    </row>
    <row r="15" spans="3:17" ht="15.75" customHeight="1" x14ac:dyDescent="0.2">
      <c r="C15" s="172"/>
      <c r="E15" s="171"/>
      <c r="J15" s="171"/>
    </row>
    <row r="16" spans="3:17" ht="15.75" customHeight="1" x14ac:dyDescent="0.2">
      <c r="C16" s="172"/>
      <c r="I16" s="2"/>
      <c r="J16" s="171"/>
    </row>
    <row r="17" spans="3:20" ht="15.75" customHeight="1" x14ac:dyDescent="0.2">
      <c r="J17" s="171"/>
    </row>
    <row r="18" spans="3:20" ht="15.75" customHeight="1" x14ac:dyDescent="0.2">
      <c r="J18" s="171"/>
    </row>
    <row r="19" spans="3:20" ht="15.75" customHeight="1" x14ac:dyDescent="0.2">
      <c r="J19" s="171"/>
    </row>
    <row r="20" spans="3:20" ht="15.75" customHeight="1" x14ac:dyDescent="0.2">
      <c r="D20" s="171"/>
      <c r="J20" s="171"/>
    </row>
    <row r="21" spans="3:20" ht="15.75" customHeight="1" x14ac:dyDescent="0.2">
      <c r="J21" s="171"/>
    </row>
    <row r="22" spans="3:20" ht="12.75" customHeight="1" x14ac:dyDescent="0.2">
      <c r="C22" s="173"/>
      <c r="J22" s="171"/>
    </row>
    <row r="23" spans="3:20" ht="12.75" customHeight="1" x14ac:dyDescent="0.2">
      <c r="J23" s="171"/>
    </row>
    <row r="24" spans="3:20" ht="12.75" customHeight="1" x14ac:dyDescent="0.2">
      <c r="J24" s="171"/>
    </row>
    <row r="25" spans="3:20" ht="12.75" customHeight="1" x14ac:dyDescent="0.2">
      <c r="J25" s="171"/>
    </row>
    <row r="26" spans="3:20" ht="12.75" customHeight="1" x14ac:dyDescent="0.2">
      <c r="J26" s="171"/>
    </row>
    <row r="27" spans="3:20" ht="12.75" customHeight="1" x14ac:dyDescent="0.2">
      <c r="J27" s="171"/>
    </row>
    <row r="28" spans="3:20" ht="15" customHeight="1" x14ac:dyDescent="0.2">
      <c r="J28" s="171"/>
      <c r="N28" s="6"/>
      <c r="O28" s="6"/>
      <c r="P28" s="6"/>
      <c r="Q28" s="6"/>
      <c r="R28" s="1"/>
      <c r="S28" s="6"/>
      <c r="T28" s="6"/>
    </row>
    <row r="29" spans="3:20" ht="15" customHeight="1" x14ac:dyDescent="0.2">
      <c r="J29" s="171"/>
      <c r="N29" s="6"/>
      <c r="O29" s="6"/>
      <c r="P29" s="4" t="s">
        <v>104</v>
      </c>
      <c r="Q29" s="6"/>
      <c r="S29" s="5" t="s">
        <v>105</v>
      </c>
      <c r="T29" s="6"/>
    </row>
    <row r="30" spans="3:20" ht="15" customHeight="1" x14ac:dyDescent="0.2">
      <c r="J30" s="171"/>
      <c r="N30" s="6"/>
      <c r="O30" s="6"/>
      <c r="P30" s="4" t="s">
        <v>106</v>
      </c>
      <c r="Q30" s="6"/>
      <c r="S30" s="5" t="s">
        <v>107</v>
      </c>
      <c r="T30" s="6"/>
    </row>
    <row r="31" spans="3:20" ht="15" customHeight="1" x14ac:dyDescent="0.2">
      <c r="J31" s="171"/>
      <c r="N31" s="6"/>
      <c r="O31" s="6"/>
      <c r="P31" s="6"/>
      <c r="Q31" s="6"/>
      <c r="S31" s="5"/>
      <c r="T31" s="6"/>
    </row>
    <row r="32" spans="3:20" ht="12.75" customHeight="1" x14ac:dyDescent="0.2">
      <c r="J32" s="171"/>
    </row>
    <row r="33" spans="10:10" ht="12.75" customHeight="1" x14ac:dyDescent="0.2">
      <c r="J33" s="171"/>
    </row>
    <row r="34" spans="10:10" ht="12.75" customHeight="1" x14ac:dyDescent="0.2">
      <c r="J34" s="171"/>
    </row>
    <row r="35" spans="10:10" ht="12.75" customHeight="1" x14ac:dyDescent="0.2">
      <c r="J35" s="171"/>
    </row>
    <row r="36" spans="10:10" ht="12.75" customHeight="1" x14ac:dyDescent="0.2">
      <c r="J36" s="171"/>
    </row>
    <row r="37" spans="10:10" ht="12.75" customHeight="1" x14ac:dyDescent="0.2">
      <c r="J37" s="171"/>
    </row>
    <row r="38" spans="10:10" ht="12.75" customHeight="1" x14ac:dyDescent="0.2">
      <c r="J38" s="171"/>
    </row>
    <row r="39" spans="10:10" ht="12.75" customHeight="1" x14ac:dyDescent="0.2">
      <c r="J39" s="171"/>
    </row>
    <row r="40" spans="10:10" ht="12.75" customHeight="1" x14ac:dyDescent="0.2">
      <c r="J40" s="171"/>
    </row>
    <row r="41" spans="10:10" ht="12.75" customHeight="1" x14ac:dyDescent="0.2">
      <c r="J41" s="171"/>
    </row>
    <row r="42" spans="10:10" ht="12.75" customHeight="1" x14ac:dyDescent="0.2">
      <c r="J42" s="171"/>
    </row>
    <row r="43" spans="10:10" ht="12.75" customHeight="1" x14ac:dyDescent="0.2">
      <c r="J43" s="171"/>
    </row>
    <row r="44" spans="10:10" ht="12.75" customHeight="1" x14ac:dyDescent="0.2">
      <c r="J44" s="171"/>
    </row>
    <row r="45" spans="10:10" ht="12.75" customHeight="1" x14ac:dyDescent="0.2">
      <c r="J45" s="171"/>
    </row>
    <row r="46" spans="10:10" ht="12.75" customHeight="1" x14ac:dyDescent="0.2">
      <c r="J46" s="171"/>
    </row>
    <row r="47" spans="10:10" ht="12.75" customHeight="1" x14ac:dyDescent="0.2">
      <c r="J47" s="171"/>
    </row>
    <row r="48" spans="10:10" ht="12.75" customHeight="1" x14ac:dyDescent="0.2">
      <c r="J48" s="171"/>
    </row>
    <row r="49" spans="10:10" ht="12.75" customHeight="1" x14ac:dyDescent="0.2">
      <c r="J49" s="171"/>
    </row>
    <row r="50" spans="10:10" ht="12.75" customHeight="1" x14ac:dyDescent="0.2">
      <c r="J50" s="171"/>
    </row>
    <row r="51" spans="10:10" ht="12.75" customHeight="1" x14ac:dyDescent="0.2">
      <c r="J51" s="171"/>
    </row>
    <row r="52" spans="10:10" ht="12.75" customHeight="1" x14ac:dyDescent="0.2">
      <c r="J52" s="171"/>
    </row>
    <row r="53" spans="10:10" ht="12.75" customHeight="1" x14ac:dyDescent="0.2">
      <c r="J53" s="171"/>
    </row>
    <row r="54" spans="10:10" ht="12.75" customHeight="1" x14ac:dyDescent="0.2">
      <c r="J54" s="171"/>
    </row>
    <row r="55" spans="10:10" ht="12.75" customHeight="1" x14ac:dyDescent="0.2">
      <c r="J55" s="171"/>
    </row>
    <row r="56" spans="10:10" ht="12.75" customHeight="1" x14ac:dyDescent="0.2">
      <c r="J56" s="171"/>
    </row>
    <row r="57" spans="10:10" ht="12.75" customHeight="1" x14ac:dyDescent="0.2">
      <c r="J57" s="171"/>
    </row>
    <row r="58" spans="10:10" ht="12.75" customHeight="1" x14ac:dyDescent="0.2">
      <c r="J58" s="171"/>
    </row>
    <row r="59" spans="10:10" ht="12.75" customHeight="1" x14ac:dyDescent="0.2">
      <c r="J59" s="171"/>
    </row>
    <row r="60" spans="10:10" ht="12.75" customHeight="1" x14ac:dyDescent="0.2">
      <c r="J60" s="171"/>
    </row>
    <row r="61" spans="10:10" ht="12.75" customHeight="1" x14ac:dyDescent="0.2">
      <c r="J61" s="171"/>
    </row>
    <row r="62" spans="10:10" ht="12.75" customHeight="1" x14ac:dyDescent="0.2">
      <c r="J62" s="171"/>
    </row>
    <row r="63" spans="10:10" ht="12.75" customHeight="1" x14ac:dyDescent="0.2">
      <c r="J63" s="171"/>
    </row>
    <row r="64" spans="10:10" ht="12.75" customHeight="1" x14ac:dyDescent="0.2">
      <c r="J64" s="171"/>
    </row>
    <row r="65" spans="10:10" ht="12.75" customHeight="1" x14ac:dyDescent="0.2">
      <c r="J65" s="171"/>
    </row>
    <row r="66" spans="10:10" ht="12.75" customHeight="1" x14ac:dyDescent="0.2">
      <c r="J66" s="171"/>
    </row>
    <row r="67" spans="10:10" ht="12.75" customHeight="1" x14ac:dyDescent="0.2">
      <c r="J67" s="171"/>
    </row>
    <row r="68" spans="10:10" ht="12.75" customHeight="1" x14ac:dyDescent="0.2">
      <c r="J68" s="171"/>
    </row>
    <row r="69" spans="10:10" ht="12.75" customHeight="1" x14ac:dyDescent="0.2">
      <c r="J69" s="171"/>
    </row>
    <row r="70" spans="10:10" ht="12.75" customHeight="1" x14ac:dyDescent="0.2">
      <c r="J70" s="171"/>
    </row>
    <row r="71" spans="10:10" ht="12.75" customHeight="1" x14ac:dyDescent="0.2">
      <c r="J71" s="171"/>
    </row>
    <row r="72" spans="10:10" ht="12.75" customHeight="1" x14ac:dyDescent="0.2">
      <c r="J72" s="171"/>
    </row>
    <row r="73" spans="10:10" ht="12.75" customHeight="1" x14ac:dyDescent="0.2">
      <c r="J73" s="171"/>
    </row>
    <row r="74" spans="10:10" ht="12.75" customHeight="1" x14ac:dyDescent="0.2">
      <c r="J74" s="171"/>
    </row>
    <row r="75" spans="10:10" ht="12.75" customHeight="1" x14ac:dyDescent="0.2">
      <c r="J75" s="171"/>
    </row>
    <row r="76" spans="10:10" ht="12.75" customHeight="1" x14ac:dyDescent="0.2">
      <c r="J76" s="171"/>
    </row>
    <row r="77" spans="10:10" ht="12.75" customHeight="1" x14ac:dyDescent="0.2">
      <c r="J77" s="171"/>
    </row>
    <row r="78" spans="10:10" ht="12.75" customHeight="1" x14ac:dyDescent="0.2">
      <c r="J78" s="171"/>
    </row>
    <row r="79" spans="10:10" ht="12.75" customHeight="1" x14ac:dyDescent="0.2">
      <c r="J79" s="171"/>
    </row>
    <row r="80" spans="10:10" ht="12.75" customHeight="1" x14ac:dyDescent="0.2">
      <c r="J80" s="171"/>
    </row>
    <row r="81" spans="10:10" ht="12.75" customHeight="1" x14ac:dyDescent="0.2">
      <c r="J81" s="171"/>
    </row>
    <row r="82" spans="10:10" ht="12.75" customHeight="1" x14ac:dyDescent="0.2">
      <c r="J82" s="171"/>
    </row>
    <row r="83" spans="10:10" ht="12.75" customHeight="1" x14ac:dyDescent="0.2">
      <c r="J83" s="171"/>
    </row>
    <row r="84" spans="10:10" ht="12.75" customHeight="1" x14ac:dyDescent="0.2">
      <c r="J84" s="171"/>
    </row>
    <row r="85" spans="10:10" ht="12.75" customHeight="1" x14ac:dyDescent="0.2">
      <c r="J85" s="171"/>
    </row>
    <row r="86" spans="10:10" ht="12.75" customHeight="1" x14ac:dyDescent="0.2">
      <c r="J86" s="171"/>
    </row>
    <row r="87" spans="10:10" ht="12.75" customHeight="1" x14ac:dyDescent="0.2">
      <c r="J87" s="171"/>
    </row>
    <row r="88" spans="10:10" ht="12.75" customHeight="1" x14ac:dyDescent="0.2">
      <c r="J88" s="171"/>
    </row>
    <row r="89" spans="10:10" ht="12.75" customHeight="1" x14ac:dyDescent="0.2">
      <c r="J89" s="171"/>
    </row>
    <row r="90" spans="10:10" ht="12.75" customHeight="1" x14ac:dyDescent="0.2">
      <c r="J90" s="171"/>
    </row>
    <row r="91" spans="10:10" ht="12.75" customHeight="1" x14ac:dyDescent="0.2">
      <c r="J91" s="171"/>
    </row>
    <row r="92" spans="10:10" ht="12.75" customHeight="1" x14ac:dyDescent="0.2">
      <c r="J92" s="171"/>
    </row>
    <row r="93" spans="10:10" ht="12.75" customHeight="1" x14ac:dyDescent="0.2">
      <c r="J93" s="171"/>
    </row>
    <row r="94" spans="10:10" ht="12.75" customHeight="1" x14ac:dyDescent="0.2">
      <c r="J94" s="171"/>
    </row>
    <row r="95" spans="10:10" ht="12.75" customHeight="1" x14ac:dyDescent="0.2">
      <c r="J95" s="171"/>
    </row>
    <row r="96" spans="10:10" ht="12.75" customHeight="1" x14ac:dyDescent="0.2">
      <c r="J96" s="171"/>
    </row>
    <row r="97" spans="10:10" ht="12.75" customHeight="1" x14ac:dyDescent="0.2">
      <c r="J97" s="171"/>
    </row>
    <row r="98" spans="10:10" ht="12.75" customHeight="1" x14ac:dyDescent="0.2">
      <c r="J98" s="171"/>
    </row>
    <row r="99" spans="10:10" ht="12.75" customHeight="1" x14ac:dyDescent="0.2">
      <c r="J99" s="171"/>
    </row>
    <row r="100" spans="10:10" ht="12.75" customHeight="1" x14ac:dyDescent="0.2">
      <c r="J100" s="171"/>
    </row>
    <row r="101" spans="10:10" ht="12.75" customHeight="1" x14ac:dyDescent="0.2">
      <c r="J101" s="171"/>
    </row>
    <row r="102" spans="10:10" ht="12.75" customHeight="1" x14ac:dyDescent="0.2">
      <c r="J102" s="171"/>
    </row>
    <row r="103" spans="10:10" ht="12.75" customHeight="1" x14ac:dyDescent="0.2">
      <c r="J103" s="171"/>
    </row>
    <row r="104" spans="10:10" ht="12.75" customHeight="1" x14ac:dyDescent="0.2">
      <c r="J104" s="171"/>
    </row>
    <row r="105" spans="10:10" ht="12.75" customHeight="1" x14ac:dyDescent="0.2">
      <c r="J105" s="171"/>
    </row>
    <row r="106" spans="10:10" ht="12.75" customHeight="1" x14ac:dyDescent="0.2">
      <c r="J106" s="171"/>
    </row>
    <row r="107" spans="10:10" ht="12.75" customHeight="1" x14ac:dyDescent="0.2">
      <c r="J107" s="171"/>
    </row>
    <row r="108" spans="10:10" ht="12.75" customHeight="1" x14ac:dyDescent="0.2">
      <c r="J108" s="171"/>
    </row>
    <row r="109" spans="10:10" ht="12.75" customHeight="1" x14ac:dyDescent="0.2">
      <c r="J109" s="171"/>
    </row>
    <row r="110" spans="10:10" ht="12.75" customHeight="1" x14ac:dyDescent="0.2">
      <c r="J110" s="171"/>
    </row>
    <row r="111" spans="10:10" ht="12.75" customHeight="1" x14ac:dyDescent="0.2">
      <c r="J111" s="171"/>
    </row>
    <row r="112" spans="10:10" ht="12.75" customHeight="1" x14ac:dyDescent="0.2">
      <c r="J112" s="171"/>
    </row>
    <row r="113" spans="10:10" ht="12.75" customHeight="1" x14ac:dyDescent="0.2">
      <c r="J113" s="171"/>
    </row>
    <row r="114" spans="10:10" ht="12.75" customHeight="1" x14ac:dyDescent="0.2">
      <c r="J114" s="171"/>
    </row>
    <row r="115" spans="10:10" ht="12.75" customHeight="1" x14ac:dyDescent="0.2">
      <c r="J115" s="171"/>
    </row>
    <row r="116" spans="10:10" ht="12.75" customHeight="1" x14ac:dyDescent="0.2">
      <c r="J116" s="171"/>
    </row>
    <row r="117" spans="10:10" ht="12.75" customHeight="1" x14ac:dyDescent="0.2">
      <c r="J117" s="171"/>
    </row>
    <row r="118" spans="10:10" ht="12.75" customHeight="1" x14ac:dyDescent="0.2">
      <c r="J118" s="171"/>
    </row>
    <row r="119" spans="10:10" ht="12.75" customHeight="1" x14ac:dyDescent="0.2">
      <c r="J119" s="171"/>
    </row>
    <row r="120" spans="10:10" ht="12.75" customHeight="1" x14ac:dyDescent="0.2">
      <c r="J120" s="171"/>
    </row>
    <row r="121" spans="10:10" ht="12.75" customHeight="1" x14ac:dyDescent="0.2">
      <c r="J121" s="171"/>
    </row>
    <row r="122" spans="10:10" ht="12.75" customHeight="1" x14ac:dyDescent="0.2">
      <c r="J122" s="171"/>
    </row>
    <row r="123" spans="10:10" ht="12.75" customHeight="1" x14ac:dyDescent="0.2">
      <c r="J123" s="171"/>
    </row>
    <row r="124" spans="10:10" ht="12.75" customHeight="1" x14ac:dyDescent="0.2">
      <c r="J124" s="171"/>
    </row>
    <row r="125" spans="10:10" ht="12.75" customHeight="1" x14ac:dyDescent="0.2">
      <c r="J125" s="171"/>
    </row>
    <row r="126" spans="10:10" ht="12.75" customHeight="1" x14ac:dyDescent="0.2">
      <c r="J126" s="171"/>
    </row>
    <row r="127" spans="10:10" ht="12.75" customHeight="1" x14ac:dyDescent="0.2">
      <c r="J127" s="171"/>
    </row>
    <row r="128" spans="10:10" ht="12.75" customHeight="1" x14ac:dyDescent="0.2">
      <c r="J128" s="171"/>
    </row>
    <row r="129" spans="10:10" ht="12.75" customHeight="1" x14ac:dyDescent="0.2">
      <c r="J129" s="171"/>
    </row>
    <row r="130" spans="10:10" ht="12.75" customHeight="1" x14ac:dyDescent="0.2">
      <c r="J130" s="171"/>
    </row>
    <row r="131" spans="10:10" ht="12.75" customHeight="1" x14ac:dyDescent="0.2">
      <c r="J131" s="171"/>
    </row>
    <row r="132" spans="10:10" ht="12.75" customHeight="1" x14ac:dyDescent="0.2">
      <c r="J132" s="171"/>
    </row>
    <row r="133" spans="10:10" ht="12.75" customHeight="1" x14ac:dyDescent="0.2">
      <c r="J133" s="171"/>
    </row>
    <row r="134" spans="10:10" ht="12.75" customHeight="1" x14ac:dyDescent="0.2">
      <c r="J134" s="171"/>
    </row>
    <row r="135" spans="10:10" ht="12.75" customHeight="1" x14ac:dyDescent="0.2">
      <c r="J135" s="171"/>
    </row>
    <row r="136" spans="10:10" ht="12.75" customHeight="1" x14ac:dyDescent="0.2">
      <c r="J136" s="171"/>
    </row>
    <row r="137" spans="10:10" ht="12.75" customHeight="1" x14ac:dyDescent="0.2">
      <c r="J137" s="171"/>
    </row>
    <row r="138" spans="10:10" ht="12.75" customHeight="1" x14ac:dyDescent="0.2">
      <c r="J138" s="171"/>
    </row>
    <row r="139" spans="10:10" ht="12.75" customHeight="1" x14ac:dyDescent="0.2">
      <c r="J139" s="171"/>
    </row>
    <row r="140" spans="10:10" ht="12.75" customHeight="1" x14ac:dyDescent="0.2">
      <c r="J140" s="171"/>
    </row>
    <row r="141" spans="10:10" ht="12.75" customHeight="1" x14ac:dyDescent="0.2">
      <c r="J141" s="171"/>
    </row>
    <row r="142" spans="10:10" ht="12.75" customHeight="1" x14ac:dyDescent="0.2">
      <c r="J142" s="171"/>
    </row>
    <row r="143" spans="10:10" ht="12.75" customHeight="1" x14ac:dyDescent="0.2">
      <c r="J143" s="171"/>
    </row>
    <row r="144" spans="10:10" ht="12.75" customHeight="1" x14ac:dyDescent="0.2">
      <c r="J144" s="171"/>
    </row>
    <row r="145" spans="10:10" ht="12.75" customHeight="1" x14ac:dyDescent="0.2">
      <c r="J145" s="171"/>
    </row>
    <row r="146" spans="10:10" ht="12.75" customHeight="1" x14ac:dyDescent="0.2">
      <c r="J146" s="171"/>
    </row>
    <row r="147" spans="10:10" ht="12.75" customHeight="1" x14ac:dyDescent="0.2">
      <c r="J147" s="171"/>
    </row>
    <row r="148" spans="10:10" ht="12.75" customHeight="1" x14ac:dyDescent="0.2">
      <c r="J148" s="171"/>
    </row>
    <row r="149" spans="10:10" ht="12.75" customHeight="1" x14ac:dyDescent="0.2">
      <c r="J149" s="171"/>
    </row>
    <row r="150" spans="10:10" ht="12.75" customHeight="1" x14ac:dyDescent="0.2">
      <c r="J150" s="171"/>
    </row>
    <row r="151" spans="10:10" ht="12.75" customHeight="1" x14ac:dyDescent="0.2">
      <c r="J151" s="171"/>
    </row>
    <row r="152" spans="10:10" ht="12.75" customHeight="1" x14ac:dyDescent="0.2">
      <c r="J152" s="171"/>
    </row>
    <row r="153" spans="10:10" ht="12.75" customHeight="1" x14ac:dyDescent="0.2">
      <c r="J153" s="171"/>
    </row>
    <row r="154" spans="10:10" ht="12.75" customHeight="1" x14ac:dyDescent="0.2">
      <c r="J154" s="171"/>
    </row>
    <row r="155" spans="10:10" ht="12.75" customHeight="1" x14ac:dyDescent="0.2">
      <c r="J155" s="171"/>
    </row>
    <row r="156" spans="10:10" ht="12.75" customHeight="1" x14ac:dyDescent="0.2">
      <c r="J156" s="171"/>
    </row>
    <row r="157" spans="10:10" ht="12.75" customHeight="1" x14ac:dyDescent="0.2">
      <c r="J157" s="171"/>
    </row>
    <row r="158" spans="10:10" ht="12.75" customHeight="1" x14ac:dyDescent="0.2">
      <c r="J158" s="171"/>
    </row>
    <row r="159" spans="10:10" ht="12.75" customHeight="1" x14ac:dyDescent="0.2">
      <c r="J159" s="171"/>
    </row>
    <row r="160" spans="10:10" ht="12.75" customHeight="1" x14ac:dyDescent="0.2">
      <c r="J160" s="171"/>
    </row>
    <row r="161" spans="10:10" ht="12.75" customHeight="1" x14ac:dyDescent="0.2">
      <c r="J161" s="171"/>
    </row>
    <row r="162" spans="10:10" ht="12.75" customHeight="1" x14ac:dyDescent="0.2">
      <c r="J162" s="171"/>
    </row>
    <row r="163" spans="10:10" ht="12.75" customHeight="1" x14ac:dyDescent="0.2">
      <c r="J163" s="171"/>
    </row>
    <row r="164" spans="10:10" ht="12.75" customHeight="1" x14ac:dyDescent="0.2">
      <c r="J164" s="171"/>
    </row>
    <row r="165" spans="10:10" ht="12.75" customHeight="1" x14ac:dyDescent="0.2">
      <c r="J165" s="171"/>
    </row>
    <row r="166" spans="10:10" ht="12.75" customHeight="1" x14ac:dyDescent="0.2">
      <c r="J166" s="171"/>
    </row>
    <row r="167" spans="10:10" ht="12.75" customHeight="1" x14ac:dyDescent="0.2">
      <c r="J167" s="171"/>
    </row>
    <row r="168" spans="10:10" ht="12.75" customHeight="1" x14ac:dyDescent="0.2">
      <c r="J168" s="171"/>
    </row>
    <row r="169" spans="10:10" ht="12.75" customHeight="1" x14ac:dyDescent="0.2">
      <c r="J169" s="171"/>
    </row>
    <row r="170" spans="10:10" ht="12.75" customHeight="1" x14ac:dyDescent="0.2">
      <c r="J170" s="171"/>
    </row>
    <row r="171" spans="10:10" ht="12.75" customHeight="1" x14ac:dyDescent="0.2">
      <c r="J171" s="171"/>
    </row>
    <row r="172" spans="10:10" ht="12.75" customHeight="1" x14ac:dyDescent="0.2">
      <c r="J172" s="171"/>
    </row>
    <row r="173" spans="10:10" ht="12.75" customHeight="1" x14ac:dyDescent="0.2">
      <c r="J173" s="171"/>
    </row>
    <row r="174" spans="10:10" ht="12.75" customHeight="1" x14ac:dyDescent="0.2">
      <c r="J174" s="171"/>
    </row>
    <row r="175" spans="10:10" ht="12.75" customHeight="1" x14ac:dyDescent="0.2">
      <c r="J175" s="171"/>
    </row>
    <row r="176" spans="10:10" ht="12.75" customHeight="1" x14ac:dyDescent="0.2">
      <c r="J176" s="171"/>
    </row>
    <row r="177" spans="10:10" ht="12.75" customHeight="1" x14ac:dyDescent="0.2">
      <c r="J177" s="171"/>
    </row>
    <row r="178" spans="10:10" ht="12.75" customHeight="1" x14ac:dyDescent="0.2">
      <c r="J178" s="171"/>
    </row>
    <row r="179" spans="10:10" ht="12.75" customHeight="1" x14ac:dyDescent="0.2">
      <c r="J179" s="171"/>
    </row>
    <row r="180" spans="10:10" ht="12.75" customHeight="1" x14ac:dyDescent="0.2">
      <c r="J180" s="171"/>
    </row>
    <row r="181" spans="10:10" ht="12.75" customHeight="1" x14ac:dyDescent="0.2">
      <c r="J181" s="171"/>
    </row>
    <row r="182" spans="10:10" ht="12.75" customHeight="1" x14ac:dyDescent="0.2">
      <c r="J182" s="171"/>
    </row>
    <row r="183" spans="10:10" ht="12.75" customHeight="1" x14ac:dyDescent="0.2">
      <c r="J183" s="171"/>
    </row>
    <row r="184" spans="10:10" ht="12.75" customHeight="1" x14ac:dyDescent="0.2">
      <c r="J184" s="171"/>
    </row>
    <row r="185" spans="10:10" ht="12.75" customHeight="1" x14ac:dyDescent="0.2">
      <c r="J185" s="171"/>
    </row>
    <row r="186" spans="10:10" ht="12.75" customHeight="1" x14ac:dyDescent="0.2">
      <c r="J186" s="171"/>
    </row>
    <row r="187" spans="10:10" ht="12.75" customHeight="1" x14ac:dyDescent="0.2">
      <c r="J187" s="171"/>
    </row>
    <row r="188" spans="10:10" ht="12.75" customHeight="1" x14ac:dyDescent="0.2">
      <c r="J188" s="171"/>
    </row>
    <row r="189" spans="10:10" ht="12.75" customHeight="1" x14ac:dyDescent="0.2">
      <c r="J189" s="171"/>
    </row>
    <row r="190" spans="10:10" ht="12.75" customHeight="1" x14ac:dyDescent="0.2">
      <c r="J190" s="171"/>
    </row>
    <row r="191" spans="10:10" ht="12.75" customHeight="1" x14ac:dyDescent="0.2">
      <c r="J191" s="171"/>
    </row>
    <row r="192" spans="10:10" ht="12.75" customHeight="1" x14ac:dyDescent="0.2">
      <c r="J192" s="171"/>
    </row>
    <row r="193" spans="10:10" ht="12.75" customHeight="1" x14ac:dyDescent="0.2">
      <c r="J193" s="171"/>
    </row>
    <row r="194" spans="10:10" ht="12.75" customHeight="1" x14ac:dyDescent="0.2">
      <c r="J194" s="171"/>
    </row>
    <row r="195" spans="10:10" ht="12.75" customHeight="1" x14ac:dyDescent="0.2">
      <c r="J195" s="171"/>
    </row>
    <row r="196" spans="10:10" ht="12.75" customHeight="1" x14ac:dyDescent="0.2">
      <c r="J196" s="171"/>
    </row>
    <row r="197" spans="10:10" ht="12.75" customHeight="1" x14ac:dyDescent="0.2">
      <c r="J197" s="171"/>
    </row>
    <row r="198" spans="10:10" ht="12.75" customHeight="1" x14ac:dyDescent="0.2">
      <c r="J198" s="171"/>
    </row>
    <row r="199" spans="10:10" ht="12.75" customHeight="1" x14ac:dyDescent="0.2">
      <c r="J199" s="171"/>
    </row>
    <row r="200" spans="10:10" ht="12.75" customHeight="1" x14ac:dyDescent="0.2">
      <c r="J200" s="171"/>
    </row>
    <row r="201" spans="10:10" ht="12.75" customHeight="1" x14ac:dyDescent="0.2">
      <c r="J201" s="171"/>
    </row>
    <row r="202" spans="10:10" ht="12.75" customHeight="1" x14ac:dyDescent="0.2">
      <c r="J202" s="171"/>
    </row>
    <row r="203" spans="10:10" ht="12.75" customHeight="1" x14ac:dyDescent="0.2">
      <c r="J203" s="171"/>
    </row>
    <row r="204" spans="10:10" ht="12.75" customHeight="1" x14ac:dyDescent="0.2">
      <c r="J204" s="171"/>
    </row>
    <row r="205" spans="10:10" ht="12.75" customHeight="1" x14ac:dyDescent="0.2">
      <c r="J205" s="171"/>
    </row>
    <row r="206" spans="10:10" ht="12.75" customHeight="1" x14ac:dyDescent="0.2">
      <c r="J206" s="171"/>
    </row>
    <row r="207" spans="10:10" ht="12.75" customHeight="1" x14ac:dyDescent="0.2">
      <c r="J207" s="171"/>
    </row>
    <row r="208" spans="10:10" ht="12.75" customHeight="1" x14ac:dyDescent="0.2">
      <c r="J208" s="171"/>
    </row>
    <row r="209" spans="10:10" ht="12.75" customHeight="1" x14ac:dyDescent="0.2">
      <c r="J209" s="171"/>
    </row>
    <row r="210" spans="10:10" ht="12.75" customHeight="1" x14ac:dyDescent="0.2">
      <c r="J210" s="171"/>
    </row>
    <row r="211" spans="10:10" ht="12.75" customHeight="1" x14ac:dyDescent="0.2">
      <c r="J211" s="171"/>
    </row>
    <row r="212" spans="10:10" ht="12.75" customHeight="1" x14ac:dyDescent="0.2">
      <c r="J212" s="171"/>
    </row>
    <row r="213" spans="10:10" ht="12.75" customHeight="1" x14ac:dyDescent="0.2">
      <c r="J213" s="171"/>
    </row>
    <row r="214" spans="10:10" ht="12.75" customHeight="1" x14ac:dyDescent="0.2">
      <c r="J214" s="171"/>
    </row>
    <row r="215" spans="10:10" ht="12.75" customHeight="1" x14ac:dyDescent="0.2">
      <c r="J215" s="171"/>
    </row>
    <row r="216" spans="10:10" ht="12.75" customHeight="1" x14ac:dyDescent="0.2">
      <c r="J216" s="171"/>
    </row>
    <row r="217" spans="10:10" ht="12.75" customHeight="1" x14ac:dyDescent="0.2">
      <c r="J217" s="171"/>
    </row>
    <row r="218" spans="10:10" ht="12.75" customHeight="1" x14ac:dyDescent="0.2">
      <c r="J218" s="171"/>
    </row>
    <row r="219" spans="10:10" ht="12.75" customHeight="1" x14ac:dyDescent="0.2">
      <c r="J219" s="171"/>
    </row>
    <row r="220" spans="10:10" ht="12.75" customHeight="1" x14ac:dyDescent="0.2">
      <c r="J220" s="171"/>
    </row>
    <row r="221" spans="10:10" ht="12.75" customHeight="1" x14ac:dyDescent="0.2">
      <c r="J221" s="171"/>
    </row>
    <row r="222" spans="10:10" ht="12.75" customHeight="1" x14ac:dyDescent="0.2">
      <c r="J222" s="171"/>
    </row>
    <row r="223" spans="10:10" ht="12.75" customHeight="1" x14ac:dyDescent="0.2">
      <c r="J223" s="171"/>
    </row>
    <row r="224" spans="10:10" ht="12.75" customHeight="1" x14ac:dyDescent="0.2">
      <c r="J224" s="171"/>
    </row>
    <row r="225" spans="10:10" ht="12.75" customHeight="1" x14ac:dyDescent="0.2">
      <c r="J225" s="171"/>
    </row>
    <row r="226" spans="10:10" ht="12.75" customHeight="1" x14ac:dyDescent="0.2">
      <c r="J226" s="171"/>
    </row>
    <row r="227" spans="10:10" ht="12.75" customHeight="1" x14ac:dyDescent="0.2">
      <c r="J227" s="171"/>
    </row>
    <row r="228" spans="10:10" ht="12.75" customHeight="1" x14ac:dyDescent="0.2">
      <c r="J228" s="171"/>
    </row>
    <row r="229" spans="10:10" ht="12.75" customHeight="1" x14ac:dyDescent="0.2">
      <c r="J229" s="171"/>
    </row>
    <row r="230" spans="10:10" ht="12.75" customHeight="1" x14ac:dyDescent="0.2">
      <c r="J230" s="171"/>
    </row>
    <row r="231" spans="10:10" ht="12.75" customHeight="1" x14ac:dyDescent="0.2">
      <c r="J231" s="171"/>
    </row>
    <row r="232" spans="10:10" ht="12.75" customHeight="1" x14ac:dyDescent="0.2">
      <c r="J232" s="171"/>
    </row>
    <row r="233" spans="10:10" ht="12.75" customHeight="1" x14ac:dyDescent="0.2">
      <c r="J233" s="171"/>
    </row>
    <row r="234" spans="10:10" ht="12.75" customHeight="1" x14ac:dyDescent="0.2">
      <c r="J234" s="171"/>
    </row>
    <row r="235" spans="10:10" ht="12.75" customHeight="1" x14ac:dyDescent="0.2">
      <c r="J235" s="171"/>
    </row>
    <row r="236" spans="10:10" ht="12.75" customHeight="1" x14ac:dyDescent="0.2">
      <c r="J236" s="171"/>
    </row>
    <row r="237" spans="10:10" ht="12.75" customHeight="1" x14ac:dyDescent="0.2">
      <c r="J237" s="171"/>
    </row>
    <row r="238" spans="10:10" ht="12.75" customHeight="1" x14ac:dyDescent="0.2">
      <c r="J238" s="171"/>
    </row>
    <row r="239" spans="10:10" ht="12.75" customHeight="1" x14ac:dyDescent="0.2">
      <c r="J239" s="171"/>
    </row>
    <row r="240" spans="10:10" ht="12.75" customHeight="1" x14ac:dyDescent="0.2">
      <c r="J240" s="171"/>
    </row>
    <row r="241" spans="10:10" ht="12.75" customHeight="1" x14ac:dyDescent="0.2">
      <c r="J241" s="171"/>
    </row>
    <row r="242" spans="10:10" ht="12.75" customHeight="1" x14ac:dyDescent="0.2">
      <c r="J242" s="171"/>
    </row>
    <row r="243" spans="10:10" ht="12.75" customHeight="1" x14ac:dyDescent="0.2">
      <c r="J243" s="171"/>
    </row>
    <row r="244" spans="10:10" ht="12.75" customHeight="1" x14ac:dyDescent="0.2">
      <c r="J244" s="171"/>
    </row>
    <row r="245" spans="10:10" ht="12.75" customHeight="1" x14ac:dyDescent="0.2">
      <c r="J245" s="171"/>
    </row>
    <row r="246" spans="10:10" ht="12.75" customHeight="1" x14ac:dyDescent="0.2">
      <c r="J246" s="171"/>
    </row>
    <row r="247" spans="10:10" ht="12.75" customHeight="1" x14ac:dyDescent="0.2">
      <c r="J247" s="171"/>
    </row>
    <row r="248" spans="10:10" ht="12.75" customHeight="1" x14ac:dyDescent="0.2">
      <c r="J248" s="171"/>
    </row>
    <row r="249" spans="10:10" ht="12.75" customHeight="1" x14ac:dyDescent="0.2">
      <c r="J249" s="171"/>
    </row>
    <row r="250" spans="10:10" ht="12.75" customHeight="1" x14ac:dyDescent="0.2">
      <c r="J250" s="171"/>
    </row>
    <row r="251" spans="10:10" ht="12.75" customHeight="1" x14ac:dyDescent="0.2">
      <c r="J251" s="171"/>
    </row>
    <row r="252" spans="10:10" ht="12.75" customHeight="1" x14ac:dyDescent="0.2">
      <c r="J252" s="171"/>
    </row>
    <row r="253" spans="10:10" ht="12.75" customHeight="1" x14ac:dyDescent="0.2">
      <c r="J253" s="171"/>
    </row>
    <row r="254" spans="10:10" ht="12.75" customHeight="1" x14ac:dyDescent="0.2">
      <c r="J254" s="171"/>
    </row>
    <row r="255" spans="10:10" ht="12.75" customHeight="1" x14ac:dyDescent="0.2">
      <c r="J255" s="171"/>
    </row>
    <row r="256" spans="10:10" ht="12.75" customHeight="1" x14ac:dyDescent="0.2">
      <c r="J256" s="171"/>
    </row>
    <row r="257" spans="10:10" ht="12.75" customHeight="1" x14ac:dyDescent="0.2">
      <c r="J257" s="171"/>
    </row>
    <row r="258" spans="10:10" ht="12.75" customHeight="1" x14ac:dyDescent="0.2">
      <c r="J258" s="171"/>
    </row>
    <row r="259" spans="10:10" ht="12.75" customHeight="1" x14ac:dyDescent="0.2">
      <c r="J259" s="171"/>
    </row>
    <row r="260" spans="10:10" ht="12.75" customHeight="1" x14ac:dyDescent="0.2">
      <c r="J260" s="171"/>
    </row>
    <row r="261" spans="10:10" ht="12.75" customHeight="1" x14ac:dyDescent="0.2">
      <c r="J261" s="171"/>
    </row>
    <row r="262" spans="10:10" ht="12.75" customHeight="1" x14ac:dyDescent="0.2">
      <c r="J262" s="171"/>
    </row>
    <row r="263" spans="10:10" ht="12.75" customHeight="1" x14ac:dyDescent="0.2">
      <c r="J263" s="171"/>
    </row>
    <row r="264" spans="10:10" ht="12.75" customHeight="1" x14ac:dyDescent="0.2">
      <c r="J264" s="171"/>
    </row>
    <row r="265" spans="10:10" ht="12.75" customHeight="1" x14ac:dyDescent="0.2">
      <c r="J265" s="171"/>
    </row>
    <row r="266" spans="10:10" ht="12.75" customHeight="1" x14ac:dyDescent="0.2">
      <c r="J266" s="171"/>
    </row>
    <row r="267" spans="10:10" ht="12.75" customHeight="1" x14ac:dyDescent="0.2">
      <c r="J267" s="171"/>
    </row>
    <row r="268" spans="10:10" ht="12.75" customHeight="1" x14ac:dyDescent="0.2">
      <c r="J268" s="171"/>
    </row>
    <row r="269" spans="10:10" ht="12.75" customHeight="1" x14ac:dyDescent="0.2">
      <c r="J269" s="171"/>
    </row>
    <row r="270" spans="10:10" ht="12.75" customHeight="1" x14ac:dyDescent="0.2">
      <c r="J270" s="171"/>
    </row>
    <row r="271" spans="10:10" ht="12.75" customHeight="1" x14ac:dyDescent="0.2">
      <c r="J271" s="171"/>
    </row>
    <row r="272" spans="10:10" ht="12.75" customHeight="1" x14ac:dyDescent="0.2">
      <c r="J272" s="171"/>
    </row>
    <row r="273" spans="10:10" ht="12.75" customHeight="1" x14ac:dyDescent="0.2">
      <c r="J273" s="171"/>
    </row>
    <row r="274" spans="10:10" ht="12.75" customHeight="1" x14ac:dyDescent="0.2">
      <c r="J274" s="171"/>
    </row>
    <row r="275" spans="10:10" ht="12.75" customHeight="1" x14ac:dyDescent="0.2">
      <c r="J275" s="171"/>
    </row>
    <row r="276" spans="10:10" ht="12.75" customHeight="1" x14ac:dyDescent="0.2">
      <c r="J276" s="171"/>
    </row>
    <row r="277" spans="10:10" ht="12.75" customHeight="1" x14ac:dyDescent="0.2">
      <c r="J277" s="171"/>
    </row>
    <row r="278" spans="10:10" ht="12.75" customHeight="1" x14ac:dyDescent="0.2">
      <c r="J278" s="171"/>
    </row>
    <row r="279" spans="10:10" ht="12.75" customHeight="1" x14ac:dyDescent="0.2">
      <c r="J279" s="171"/>
    </row>
    <row r="280" spans="10:10" ht="12.75" customHeight="1" x14ac:dyDescent="0.2">
      <c r="J280" s="171"/>
    </row>
    <row r="281" spans="10:10" ht="12.75" customHeight="1" x14ac:dyDescent="0.2">
      <c r="J281" s="171"/>
    </row>
    <row r="282" spans="10:10" ht="12.75" customHeight="1" x14ac:dyDescent="0.2">
      <c r="J282" s="171"/>
    </row>
    <row r="283" spans="10:10" ht="12.75" customHeight="1" x14ac:dyDescent="0.2">
      <c r="J283" s="171"/>
    </row>
    <row r="284" spans="10:10" ht="12.75" customHeight="1" x14ac:dyDescent="0.2">
      <c r="J284" s="171"/>
    </row>
    <row r="285" spans="10:10" ht="12.75" customHeight="1" x14ac:dyDescent="0.2">
      <c r="J285" s="171"/>
    </row>
    <row r="286" spans="10:10" ht="12.75" customHeight="1" x14ac:dyDescent="0.2">
      <c r="J286" s="171"/>
    </row>
    <row r="287" spans="10:10" ht="12.75" customHeight="1" x14ac:dyDescent="0.2">
      <c r="J287" s="171"/>
    </row>
    <row r="288" spans="10:10" ht="12.75" customHeight="1" x14ac:dyDescent="0.2">
      <c r="J288" s="171"/>
    </row>
    <row r="289" spans="10:10" ht="12.75" customHeight="1" x14ac:dyDescent="0.2">
      <c r="J289" s="171"/>
    </row>
    <row r="290" spans="10:10" ht="12.75" customHeight="1" x14ac:dyDescent="0.2">
      <c r="J290" s="171"/>
    </row>
    <row r="291" spans="10:10" ht="12.75" customHeight="1" x14ac:dyDescent="0.2">
      <c r="J291" s="171"/>
    </row>
    <row r="292" spans="10:10" ht="12.75" customHeight="1" x14ac:dyDescent="0.2">
      <c r="J292" s="171"/>
    </row>
    <row r="293" spans="10:10" ht="12.75" customHeight="1" x14ac:dyDescent="0.2">
      <c r="J293" s="171"/>
    </row>
    <row r="294" spans="10:10" ht="12.75" customHeight="1" x14ac:dyDescent="0.2">
      <c r="J294" s="171"/>
    </row>
    <row r="295" spans="10:10" ht="12.75" customHeight="1" x14ac:dyDescent="0.2">
      <c r="J295" s="171"/>
    </row>
    <row r="296" spans="10:10" ht="12.75" customHeight="1" x14ac:dyDescent="0.2">
      <c r="J296" s="171"/>
    </row>
    <row r="297" spans="10:10" ht="12.75" customHeight="1" x14ac:dyDescent="0.2">
      <c r="J297" s="171"/>
    </row>
    <row r="298" spans="10:10" ht="12.75" customHeight="1" x14ac:dyDescent="0.2">
      <c r="J298" s="171"/>
    </row>
    <row r="299" spans="10:10" ht="12.75" customHeight="1" x14ac:dyDescent="0.2">
      <c r="J299" s="171"/>
    </row>
    <row r="300" spans="10:10" ht="12.75" customHeight="1" x14ac:dyDescent="0.2">
      <c r="J300" s="171"/>
    </row>
    <row r="301" spans="10:10" ht="12.75" customHeight="1" x14ac:dyDescent="0.2">
      <c r="J301" s="171"/>
    </row>
    <row r="302" spans="10:10" ht="12.75" customHeight="1" x14ac:dyDescent="0.2">
      <c r="J302" s="171"/>
    </row>
    <row r="303" spans="10:10" ht="12.75" customHeight="1" x14ac:dyDescent="0.2">
      <c r="J303" s="171"/>
    </row>
    <row r="304" spans="10:10" ht="12.75" customHeight="1" x14ac:dyDescent="0.2">
      <c r="J304" s="171"/>
    </row>
    <row r="305" spans="10:10" ht="12.75" customHeight="1" x14ac:dyDescent="0.2">
      <c r="J305" s="171"/>
    </row>
    <row r="306" spans="10:10" ht="12.75" customHeight="1" x14ac:dyDescent="0.2">
      <c r="J306" s="171"/>
    </row>
    <row r="307" spans="10:10" ht="12.75" customHeight="1" x14ac:dyDescent="0.2">
      <c r="J307" s="171"/>
    </row>
    <row r="308" spans="10:10" ht="12.75" customHeight="1" x14ac:dyDescent="0.2">
      <c r="J308" s="171"/>
    </row>
    <row r="309" spans="10:10" ht="12.75" customHeight="1" x14ac:dyDescent="0.2">
      <c r="J309" s="171"/>
    </row>
    <row r="310" spans="10:10" ht="12.75" customHeight="1" x14ac:dyDescent="0.2">
      <c r="J310" s="171"/>
    </row>
    <row r="311" spans="10:10" ht="12.75" customHeight="1" x14ac:dyDescent="0.2">
      <c r="J311" s="171"/>
    </row>
    <row r="312" spans="10:10" ht="12.75" customHeight="1" x14ac:dyDescent="0.2">
      <c r="J312" s="171"/>
    </row>
    <row r="313" spans="10:10" ht="12.75" customHeight="1" x14ac:dyDescent="0.2">
      <c r="J313" s="171"/>
    </row>
    <row r="314" spans="10:10" ht="12.75" customHeight="1" x14ac:dyDescent="0.2">
      <c r="J314" s="171"/>
    </row>
    <row r="315" spans="10:10" ht="12.75" customHeight="1" x14ac:dyDescent="0.2">
      <c r="J315" s="171"/>
    </row>
    <row r="316" spans="10:10" ht="12.75" customHeight="1" x14ac:dyDescent="0.2">
      <c r="J316" s="171"/>
    </row>
    <row r="317" spans="10:10" ht="12.75" customHeight="1" x14ac:dyDescent="0.2">
      <c r="J317" s="171"/>
    </row>
    <row r="318" spans="10:10" ht="12.75" customHeight="1" x14ac:dyDescent="0.2">
      <c r="J318" s="171"/>
    </row>
    <row r="319" spans="10:10" ht="12.75" customHeight="1" x14ac:dyDescent="0.2">
      <c r="J319" s="171"/>
    </row>
    <row r="320" spans="10:10" ht="12.75" customHeight="1" x14ac:dyDescent="0.2">
      <c r="J320" s="171"/>
    </row>
    <row r="321" spans="10:10" ht="12.75" customHeight="1" x14ac:dyDescent="0.2">
      <c r="J321" s="171"/>
    </row>
    <row r="322" spans="10:10" ht="12.75" customHeight="1" x14ac:dyDescent="0.2">
      <c r="J322" s="171"/>
    </row>
    <row r="323" spans="10:10" ht="12.75" customHeight="1" x14ac:dyDescent="0.2">
      <c r="J323" s="171"/>
    </row>
    <row r="324" spans="10:10" ht="12.75" customHeight="1" x14ac:dyDescent="0.2">
      <c r="J324" s="171"/>
    </row>
    <row r="325" spans="10:10" ht="12.75" customHeight="1" x14ac:dyDescent="0.2">
      <c r="J325" s="171"/>
    </row>
    <row r="326" spans="10:10" ht="12.75" customHeight="1" x14ac:dyDescent="0.2">
      <c r="J326" s="171"/>
    </row>
    <row r="327" spans="10:10" ht="12.75" customHeight="1" x14ac:dyDescent="0.2">
      <c r="J327" s="171"/>
    </row>
    <row r="328" spans="10:10" ht="12.75" customHeight="1" x14ac:dyDescent="0.2">
      <c r="J328" s="171"/>
    </row>
    <row r="329" spans="10:10" ht="12.75" customHeight="1" x14ac:dyDescent="0.2">
      <c r="J329" s="171"/>
    </row>
    <row r="330" spans="10:10" ht="12.75" customHeight="1" x14ac:dyDescent="0.2">
      <c r="J330" s="171"/>
    </row>
    <row r="331" spans="10:10" ht="12.75" customHeight="1" x14ac:dyDescent="0.2">
      <c r="J331" s="171"/>
    </row>
    <row r="332" spans="10:10" ht="12.75" customHeight="1" x14ac:dyDescent="0.2">
      <c r="J332" s="171"/>
    </row>
    <row r="333" spans="10:10" ht="12.75" customHeight="1" x14ac:dyDescent="0.2">
      <c r="J333" s="171"/>
    </row>
    <row r="334" spans="10:10" ht="12.75" customHeight="1" x14ac:dyDescent="0.2">
      <c r="J334" s="171"/>
    </row>
    <row r="335" spans="10:10" ht="12.75" customHeight="1" x14ac:dyDescent="0.2">
      <c r="J335" s="171"/>
    </row>
    <row r="336" spans="10:10" ht="12.75" customHeight="1" x14ac:dyDescent="0.2">
      <c r="J336" s="171"/>
    </row>
    <row r="337" spans="10:10" ht="12.75" customHeight="1" x14ac:dyDescent="0.2">
      <c r="J337" s="171"/>
    </row>
    <row r="338" spans="10:10" ht="12.75" customHeight="1" x14ac:dyDescent="0.2">
      <c r="J338" s="171"/>
    </row>
    <row r="339" spans="10:10" ht="12.75" customHeight="1" x14ac:dyDescent="0.2">
      <c r="J339" s="171"/>
    </row>
    <row r="340" spans="10:10" ht="12.75" customHeight="1" x14ac:dyDescent="0.2">
      <c r="J340" s="171"/>
    </row>
    <row r="341" spans="10:10" ht="12.75" customHeight="1" x14ac:dyDescent="0.2">
      <c r="J341" s="171"/>
    </row>
    <row r="342" spans="10:10" ht="12.75" customHeight="1" x14ac:dyDescent="0.2">
      <c r="J342" s="171"/>
    </row>
    <row r="343" spans="10:10" ht="12.75" customHeight="1" x14ac:dyDescent="0.2">
      <c r="J343" s="171"/>
    </row>
    <row r="344" spans="10:10" ht="12.75" customHeight="1" x14ac:dyDescent="0.2">
      <c r="J344" s="171"/>
    </row>
    <row r="345" spans="10:10" ht="12.75" customHeight="1" x14ac:dyDescent="0.2">
      <c r="J345" s="171"/>
    </row>
    <row r="346" spans="10:10" ht="12.75" customHeight="1" x14ac:dyDescent="0.2">
      <c r="J346" s="171"/>
    </row>
    <row r="347" spans="10:10" ht="12.75" customHeight="1" x14ac:dyDescent="0.2">
      <c r="J347" s="171"/>
    </row>
    <row r="348" spans="10:10" ht="12.75" customHeight="1" x14ac:dyDescent="0.2">
      <c r="J348" s="171"/>
    </row>
    <row r="349" spans="10:10" ht="12.75" customHeight="1" x14ac:dyDescent="0.2">
      <c r="J349" s="171"/>
    </row>
    <row r="350" spans="10:10" ht="12.75" customHeight="1" x14ac:dyDescent="0.2">
      <c r="J350" s="171"/>
    </row>
    <row r="351" spans="10:10" ht="12.75" customHeight="1" x14ac:dyDescent="0.2">
      <c r="J351" s="171"/>
    </row>
    <row r="352" spans="10:10" ht="12.75" customHeight="1" x14ac:dyDescent="0.2">
      <c r="J352" s="171"/>
    </row>
    <row r="353" spans="10:10" ht="12.75" customHeight="1" x14ac:dyDescent="0.2">
      <c r="J353" s="171"/>
    </row>
    <row r="354" spans="10:10" ht="12.75" customHeight="1" x14ac:dyDescent="0.2">
      <c r="J354" s="171"/>
    </row>
    <row r="355" spans="10:10" ht="12.75" customHeight="1" x14ac:dyDescent="0.2">
      <c r="J355" s="171"/>
    </row>
    <row r="356" spans="10:10" ht="12.75" customHeight="1" x14ac:dyDescent="0.2">
      <c r="J356" s="171"/>
    </row>
    <row r="357" spans="10:10" ht="12.75" customHeight="1" x14ac:dyDescent="0.2">
      <c r="J357" s="171"/>
    </row>
    <row r="358" spans="10:10" ht="12.75" customHeight="1" x14ac:dyDescent="0.2">
      <c r="J358" s="171"/>
    </row>
    <row r="359" spans="10:10" ht="12.75" customHeight="1" x14ac:dyDescent="0.2">
      <c r="J359" s="171"/>
    </row>
    <row r="360" spans="10:10" ht="12.75" customHeight="1" x14ac:dyDescent="0.2">
      <c r="J360" s="171"/>
    </row>
    <row r="361" spans="10:10" ht="12.75" customHeight="1" x14ac:dyDescent="0.2">
      <c r="J361" s="171"/>
    </row>
    <row r="362" spans="10:10" ht="12.75" customHeight="1" x14ac:dyDescent="0.2">
      <c r="J362" s="171"/>
    </row>
    <row r="363" spans="10:10" ht="12.75" customHeight="1" x14ac:dyDescent="0.2">
      <c r="J363" s="171"/>
    </row>
    <row r="364" spans="10:10" ht="12.75" customHeight="1" x14ac:dyDescent="0.2">
      <c r="J364" s="171"/>
    </row>
    <row r="365" spans="10:10" ht="12.75" customHeight="1" x14ac:dyDescent="0.2">
      <c r="J365" s="171"/>
    </row>
    <row r="366" spans="10:10" ht="12.75" customHeight="1" x14ac:dyDescent="0.2">
      <c r="J366" s="171"/>
    </row>
    <row r="367" spans="10:10" ht="12.75" customHeight="1" x14ac:dyDescent="0.2">
      <c r="J367" s="171"/>
    </row>
    <row r="368" spans="10:10" ht="12.75" customHeight="1" x14ac:dyDescent="0.2">
      <c r="J368" s="171"/>
    </row>
    <row r="369" spans="10:10" ht="12.75" customHeight="1" x14ac:dyDescent="0.2">
      <c r="J369" s="171"/>
    </row>
    <row r="370" spans="10:10" ht="12.75" customHeight="1" x14ac:dyDescent="0.2">
      <c r="J370" s="171"/>
    </row>
    <row r="371" spans="10:10" ht="12.75" customHeight="1" x14ac:dyDescent="0.2">
      <c r="J371" s="171"/>
    </row>
    <row r="372" spans="10:10" ht="12.75" customHeight="1" x14ac:dyDescent="0.2">
      <c r="J372" s="171"/>
    </row>
    <row r="373" spans="10:10" ht="12.75" customHeight="1" x14ac:dyDescent="0.2">
      <c r="J373" s="171"/>
    </row>
    <row r="374" spans="10:10" ht="12.75" customHeight="1" x14ac:dyDescent="0.2">
      <c r="J374" s="171"/>
    </row>
    <row r="375" spans="10:10" ht="12.75" customHeight="1" x14ac:dyDescent="0.2">
      <c r="J375" s="171"/>
    </row>
    <row r="376" spans="10:10" ht="12.75" customHeight="1" x14ac:dyDescent="0.2">
      <c r="J376" s="171"/>
    </row>
    <row r="377" spans="10:10" ht="12.75" customHeight="1" x14ac:dyDescent="0.2">
      <c r="J377" s="171"/>
    </row>
    <row r="378" spans="10:10" ht="12.75" customHeight="1" x14ac:dyDescent="0.2">
      <c r="J378" s="171"/>
    </row>
    <row r="379" spans="10:10" ht="12.75" customHeight="1" x14ac:dyDescent="0.2">
      <c r="J379" s="171"/>
    </row>
    <row r="380" spans="10:10" ht="12.75" customHeight="1" x14ac:dyDescent="0.2">
      <c r="J380" s="171"/>
    </row>
    <row r="381" spans="10:10" ht="12.75" customHeight="1" x14ac:dyDescent="0.2">
      <c r="J381" s="171"/>
    </row>
    <row r="382" spans="10:10" ht="12.75" customHeight="1" x14ac:dyDescent="0.2">
      <c r="J382" s="171"/>
    </row>
    <row r="383" spans="10:10" ht="12.75" customHeight="1" x14ac:dyDescent="0.2">
      <c r="J383" s="171"/>
    </row>
    <row r="384" spans="10:10" ht="12.75" customHeight="1" x14ac:dyDescent="0.2">
      <c r="J384" s="171"/>
    </row>
    <row r="385" spans="10:10" ht="12.75" customHeight="1" x14ac:dyDescent="0.2">
      <c r="J385" s="171"/>
    </row>
    <row r="386" spans="10:10" ht="12.75" customHeight="1" x14ac:dyDescent="0.2">
      <c r="J386" s="171"/>
    </row>
    <row r="387" spans="10:10" ht="12.75" customHeight="1" x14ac:dyDescent="0.2">
      <c r="J387" s="171"/>
    </row>
    <row r="388" spans="10:10" ht="12.75" customHeight="1" x14ac:dyDescent="0.2">
      <c r="J388" s="171"/>
    </row>
    <row r="389" spans="10:10" ht="12.75" customHeight="1" x14ac:dyDescent="0.2">
      <c r="J389" s="171"/>
    </row>
    <row r="390" spans="10:10" ht="12.75" customHeight="1" x14ac:dyDescent="0.2">
      <c r="J390" s="171"/>
    </row>
    <row r="391" spans="10:10" ht="12.75" customHeight="1" x14ac:dyDescent="0.2">
      <c r="J391" s="171"/>
    </row>
    <row r="392" spans="10:10" ht="12.75" customHeight="1" x14ac:dyDescent="0.2">
      <c r="J392" s="171"/>
    </row>
    <row r="393" spans="10:10" ht="12.75" customHeight="1" x14ac:dyDescent="0.2">
      <c r="J393" s="171"/>
    </row>
    <row r="394" spans="10:10" ht="12.75" customHeight="1" x14ac:dyDescent="0.2">
      <c r="J394" s="171"/>
    </row>
    <row r="395" spans="10:10" ht="12.75" customHeight="1" x14ac:dyDescent="0.2">
      <c r="J395" s="171"/>
    </row>
    <row r="396" spans="10:10" ht="12.75" customHeight="1" x14ac:dyDescent="0.2">
      <c r="J396" s="171"/>
    </row>
    <row r="397" spans="10:10" ht="12.75" customHeight="1" x14ac:dyDescent="0.2">
      <c r="J397" s="171"/>
    </row>
    <row r="398" spans="10:10" ht="12.75" customHeight="1" x14ac:dyDescent="0.2">
      <c r="J398" s="171"/>
    </row>
    <row r="399" spans="10:10" ht="12.75" customHeight="1" x14ac:dyDescent="0.2">
      <c r="J399" s="171"/>
    </row>
    <row r="400" spans="10:10" ht="12.75" customHeight="1" x14ac:dyDescent="0.2">
      <c r="J400" s="171"/>
    </row>
    <row r="401" spans="10:10" ht="12.75" customHeight="1" x14ac:dyDescent="0.2">
      <c r="J401" s="171"/>
    </row>
    <row r="402" spans="10:10" ht="12.75" customHeight="1" x14ac:dyDescent="0.2">
      <c r="J402" s="171"/>
    </row>
    <row r="403" spans="10:10" ht="12.75" customHeight="1" x14ac:dyDescent="0.2">
      <c r="J403" s="171"/>
    </row>
    <row r="404" spans="10:10" ht="12.75" customHeight="1" x14ac:dyDescent="0.2">
      <c r="J404" s="171"/>
    </row>
    <row r="405" spans="10:10" ht="12.75" customHeight="1" x14ac:dyDescent="0.2">
      <c r="J405" s="171"/>
    </row>
    <row r="406" spans="10:10" ht="12.75" customHeight="1" x14ac:dyDescent="0.2">
      <c r="J406" s="171"/>
    </row>
    <row r="407" spans="10:10" ht="12.75" customHeight="1" x14ac:dyDescent="0.2">
      <c r="J407" s="171"/>
    </row>
    <row r="408" spans="10:10" ht="12.75" customHeight="1" x14ac:dyDescent="0.2">
      <c r="J408" s="171"/>
    </row>
    <row r="409" spans="10:10" ht="12.75" customHeight="1" x14ac:dyDescent="0.2">
      <c r="J409" s="171"/>
    </row>
    <row r="410" spans="10:10" ht="12.75" customHeight="1" x14ac:dyDescent="0.2">
      <c r="J410" s="171"/>
    </row>
    <row r="411" spans="10:10" ht="12.75" customHeight="1" x14ac:dyDescent="0.2">
      <c r="J411" s="171"/>
    </row>
    <row r="412" spans="10:10" ht="12.75" customHeight="1" x14ac:dyDescent="0.2">
      <c r="J412" s="171"/>
    </row>
    <row r="413" spans="10:10" ht="12.75" customHeight="1" x14ac:dyDescent="0.2">
      <c r="J413" s="171"/>
    </row>
    <row r="414" spans="10:10" ht="12.75" customHeight="1" x14ac:dyDescent="0.2">
      <c r="J414" s="171"/>
    </row>
    <row r="415" spans="10:10" ht="12.75" customHeight="1" x14ac:dyDescent="0.2">
      <c r="J415" s="171"/>
    </row>
    <row r="416" spans="10:10" ht="12.75" customHeight="1" x14ac:dyDescent="0.2">
      <c r="J416" s="171"/>
    </row>
    <row r="417" spans="10:10" ht="12.75" customHeight="1" x14ac:dyDescent="0.2">
      <c r="J417" s="171"/>
    </row>
    <row r="418" spans="10:10" ht="12.75" customHeight="1" x14ac:dyDescent="0.2">
      <c r="J418" s="171"/>
    </row>
    <row r="419" spans="10:10" ht="12.75" customHeight="1" x14ac:dyDescent="0.2">
      <c r="J419" s="171"/>
    </row>
    <row r="420" spans="10:10" ht="12.75" customHeight="1" x14ac:dyDescent="0.2">
      <c r="J420" s="171"/>
    </row>
    <row r="421" spans="10:10" ht="12.75" customHeight="1" x14ac:dyDescent="0.2">
      <c r="J421" s="171"/>
    </row>
    <row r="422" spans="10:10" ht="12.75" customHeight="1" x14ac:dyDescent="0.2">
      <c r="J422" s="171"/>
    </row>
    <row r="423" spans="10:10" ht="12.75" customHeight="1" x14ac:dyDescent="0.2">
      <c r="J423" s="171"/>
    </row>
    <row r="424" spans="10:10" ht="12.75" customHeight="1" x14ac:dyDescent="0.2">
      <c r="J424" s="171"/>
    </row>
    <row r="425" spans="10:10" ht="12.75" customHeight="1" x14ac:dyDescent="0.2">
      <c r="J425" s="171"/>
    </row>
    <row r="426" spans="10:10" ht="12.75" customHeight="1" x14ac:dyDescent="0.2">
      <c r="J426" s="171"/>
    </row>
    <row r="427" spans="10:10" ht="12.75" customHeight="1" x14ac:dyDescent="0.2">
      <c r="J427" s="171"/>
    </row>
    <row r="428" spans="10:10" ht="12.75" customHeight="1" x14ac:dyDescent="0.2">
      <c r="J428" s="171"/>
    </row>
    <row r="429" spans="10:10" ht="12.75" customHeight="1" x14ac:dyDescent="0.2">
      <c r="J429" s="171"/>
    </row>
    <row r="430" spans="10:10" ht="12.75" customHeight="1" x14ac:dyDescent="0.2">
      <c r="J430" s="171"/>
    </row>
    <row r="431" spans="10:10" ht="12.75" customHeight="1" x14ac:dyDescent="0.2">
      <c r="J431" s="171"/>
    </row>
    <row r="432" spans="10:10" ht="12.75" customHeight="1" x14ac:dyDescent="0.2">
      <c r="J432" s="171"/>
    </row>
    <row r="433" spans="10:10" ht="12.75" customHeight="1" x14ac:dyDescent="0.2">
      <c r="J433" s="171"/>
    </row>
    <row r="434" spans="10:10" ht="12.75" customHeight="1" x14ac:dyDescent="0.2">
      <c r="J434" s="171"/>
    </row>
    <row r="435" spans="10:10" ht="12.75" customHeight="1" x14ac:dyDescent="0.2">
      <c r="J435" s="171"/>
    </row>
    <row r="436" spans="10:10" ht="12.75" customHeight="1" x14ac:dyDescent="0.2">
      <c r="J436" s="171"/>
    </row>
    <row r="437" spans="10:10" ht="12.75" customHeight="1" x14ac:dyDescent="0.2">
      <c r="J437" s="171"/>
    </row>
    <row r="438" spans="10:10" ht="12.75" customHeight="1" x14ac:dyDescent="0.2">
      <c r="J438" s="171"/>
    </row>
    <row r="439" spans="10:10" ht="12.75" customHeight="1" x14ac:dyDescent="0.2">
      <c r="J439" s="171"/>
    </row>
    <row r="440" spans="10:10" ht="12.75" customHeight="1" x14ac:dyDescent="0.2">
      <c r="J440" s="171"/>
    </row>
    <row r="441" spans="10:10" ht="12.75" customHeight="1" x14ac:dyDescent="0.2">
      <c r="J441" s="171"/>
    </row>
    <row r="442" spans="10:10" ht="12.75" customHeight="1" x14ac:dyDescent="0.2">
      <c r="J442" s="171"/>
    </row>
    <row r="443" spans="10:10" ht="12.75" customHeight="1" x14ac:dyDescent="0.2">
      <c r="J443" s="171"/>
    </row>
    <row r="444" spans="10:10" ht="12.75" customHeight="1" x14ac:dyDescent="0.2">
      <c r="J444" s="171"/>
    </row>
    <row r="445" spans="10:10" ht="12.75" customHeight="1" x14ac:dyDescent="0.2">
      <c r="J445" s="171"/>
    </row>
    <row r="446" spans="10:10" ht="12.75" customHeight="1" x14ac:dyDescent="0.2">
      <c r="J446" s="171"/>
    </row>
    <row r="447" spans="10:10" ht="12.75" customHeight="1" x14ac:dyDescent="0.2">
      <c r="J447" s="171"/>
    </row>
    <row r="448" spans="10:10" ht="12.75" customHeight="1" x14ac:dyDescent="0.2">
      <c r="J448" s="171"/>
    </row>
    <row r="449" spans="10:10" ht="12.75" customHeight="1" x14ac:dyDescent="0.2">
      <c r="J449" s="171"/>
    </row>
    <row r="450" spans="10:10" ht="12.75" customHeight="1" x14ac:dyDescent="0.2">
      <c r="J450" s="171"/>
    </row>
    <row r="451" spans="10:10" ht="12.75" customHeight="1" x14ac:dyDescent="0.2">
      <c r="J451" s="171"/>
    </row>
    <row r="452" spans="10:10" ht="12.75" customHeight="1" x14ac:dyDescent="0.2">
      <c r="J452" s="171"/>
    </row>
    <row r="453" spans="10:10" ht="12.75" customHeight="1" x14ac:dyDescent="0.2">
      <c r="J453" s="171"/>
    </row>
    <row r="454" spans="10:10" ht="12.75" customHeight="1" x14ac:dyDescent="0.2">
      <c r="J454" s="171"/>
    </row>
    <row r="455" spans="10:10" ht="12.75" customHeight="1" x14ac:dyDescent="0.2">
      <c r="J455" s="171"/>
    </row>
    <row r="456" spans="10:10" ht="12.75" customHeight="1" x14ac:dyDescent="0.2">
      <c r="J456" s="171"/>
    </row>
    <row r="457" spans="10:10" ht="12.75" customHeight="1" x14ac:dyDescent="0.2">
      <c r="J457" s="171"/>
    </row>
    <row r="458" spans="10:10" ht="12.75" customHeight="1" x14ac:dyDescent="0.2">
      <c r="J458" s="171"/>
    </row>
    <row r="459" spans="10:10" ht="12.75" customHeight="1" x14ac:dyDescent="0.2">
      <c r="J459" s="171"/>
    </row>
    <row r="460" spans="10:10" ht="12.75" customHeight="1" x14ac:dyDescent="0.2">
      <c r="J460" s="171"/>
    </row>
    <row r="461" spans="10:10" ht="12.75" customHeight="1" x14ac:dyDescent="0.2">
      <c r="J461" s="171"/>
    </row>
    <row r="462" spans="10:10" ht="12.75" customHeight="1" x14ac:dyDescent="0.2">
      <c r="J462" s="171"/>
    </row>
    <row r="463" spans="10:10" ht="12.75" customHeight="1" x14ac:dyDescent="0.2">
      <c r="J463" s="171"/>
    </row>
    <row r="464" spans="10:10" ht="12.75" customHeight="1" x14ac:dyDescent="0.2">
      <c r="J464" s="171"/>
    </row>
    <row r="465" spans="10:10" ht="12.75" customHeight="1" x14ac:dyDescent="0.2">
      <c r="J465" s="171"/>
    </row>
    <row r="466" spans="10:10" ht="12.75" customHeight="1" x14ac:dyDescent="0.2">
      <c r="J466" s="171"/>
    </row>
    <row r="467" spans="10:10" ht="12.75" customHeight="1" x14ac:dyDescent="0.2">
      <c r="J467" s="171"/>
    </row>
    <row r="468" spans="10:10" ht="12.75" customHeight="1" x14ac:dyDescent="0.2">
      <c r="J468" s="171"/>
    </row>
    <row r="469" spans="10:10" ht="12.75" customHeight="1" x14ac:dyDescent="0.2">
      <c r="J469" s="171"/>
    </row>
    <row r="470" spans="10:10" ht="12.75" customHeight="1" x14ac:dyDescent="0.2">
      <c r="J470" s="171"/>
    </row>
    <row r="471" spans="10:10" ht="12.75" customHeight="1" x14ac:dyDescent="0.2">
      <c r="J471" s="171"/>
    </row>
    <row r="472" spans="10:10" ht="12.75" customHeight="1" x14ac:dyDescent="0.2">
      <c r="J472" s="171"/>
    </row>
    <row r="473" spans="10:10" ht="12.75" customHeight="1" x14ac:dyDescent="0.2">
      <c r="J473" s="171"/>
    </row>
    <row r="474" spans="10:10" ht="12.75" customHeight="1" x14ac:dyDescent="0.2">
      <c r="J474" s="171"/>
    </row>
    <row r="475" spans="10:10" ht="12.75" customHeight="1" x14ac:dyDescent="0.2">
      <c r="J475" s="171"/>
    </row>
    <row r="476" spans="10:10" ht="12.75" customHeight="1" x14ac:dyDescent="0.2">
      <c r="J476" s="171"/>
    </row>
    <row r="477" spans="10:10" ht="12.75" customHeight="1" x14ac:dyDescent="0.2">
      <c r="J477" s="171"/>
    </row>
    <row r="478" spans="10:10" ht="12.75" customHeight="1" x14ac:dyDescent="0.2">
      <c r="J478" s="171"/>
    </row>
    <row r="479" spans="10:10" ht="12.75" customHeight="1" x14ac:dyDescent="0.2">
      <c r="J479" s="171"/>
    </row>
    <row r="480" spans="10:10" ht="12.75" customHeight="1" x14ac:dyDescent="0.2">
      <c r="J480" s="171"/>
    </row>
    <row r="481" spans="10:10" ht="12.75" customHeight="1" x14ac:dyDescent="0.2">
      <c r="J481" s="171"/>
    </row>
    <row r="482" spans="10:10" ht="12.75" customHeight="1" x14ac:dyDescent="0.2">
      <c r="J482" s="171"/>
    </row>
    <row r="483" spans="10:10" ht="12.75" customHeight="1" x14ac:dyDescent="0.2">
      <c r="J483" s="171"/>
    </row>
    <row r="484" spans="10:10" ht="12.75" customHeight="1" x14ac:dyDescent="0.2">
      <c r="J484" s="171"/>
    </row>
    <row r="485" spans="10:10" ht="12.75" customHeight="1" x14ac:dyDescent="0.2">
      <c r="J485" s="171"/>
    </row>
    <row r="486" spans="10:10" ht="12.75" customHeight="1" x14ac:dyDescent="0.2">
      <c r="J486" s="171"/>
    </row>
    <row r="487" spans="10:10" ht="12.75" customHeight="1" x14ac:dyDescent="0.2">
      <c r="J487" s="171"/>
    </row>
    <row r="488" spans="10:10" ht="12.75" customHeight="1" x14ac:dyDescent="0.2">
      <c r="J488" s="171"/>
    </row>
    <row r="489" spans="10:10" ht="12.75" customHeight="1" x14ac:dyDescent="0.2">
      <c r="J489" s="171"/>
    </row>
    <row r="490" spans="10:10" ht="12.75" customHeight="1" x14ac:dyDescent="0.2">
      <c r="J490" s="171"/>
    </row>
    <row r="491" spans="10:10" ht="12.75" customHeight="1" x14ac:dyDescent="0.2">
      <c r="J491" s="171"/>
    </row>
    <row r="492" spans="10:10" ht="12.75" customHeight="1" x14ac:dyDescent="0.2">
      <c r="J492" s="171"/>
    </row>
    <row r="493" spans="10:10" ht="12.75" customHeight="1" x14ac:dyDescent="0.2">
      <c r="J493" s="171"/>
    </row>
    <row r="494" spans="10:10" ht="12.75" customHeight="1" x14ac:dyDescent="0.2">
      <c r="J494" s="171"/>
    </row>
    <row r="495" spans="10:10" ht="12.75" customHeight="1" x14ac:dyDescent="0.2">
      <c r="J495" s="171"/>
    </row>
    <row r="496" spans="10:10" ht="12.75" customHeight="1" x14ac:dyDescent="0.2">
      <c r="J496" s="171"/>
    </row>
    <row r="497" spans="10:10" ht="12.75" customHeight="1" x14ac:dyDescent="0.2">
      <c r="J497" s="171"/>
    </row>
    <row r="498" spans="10:10" ht="12.75" customHeight="1" x14ac:dyDescent="0.2">
      <c r="J498" s="171"/>
    </row>
    <row r="499" spans="10:10" ht="12.75" customHeight="1" x14ac:dyDescent="0.2">
      <c r="J499" s="171"/>
    </row>
    <row r="500" spans="10:10" ht="12.75" customHeight="1" x14ac:dyDescent="0.2">
      <c r="J500" s="171"/>
    </row>
    <row r="501" spans="10:10" ht="12.75" customHeight="1" x14ac:dyDescent="0.2">
      <c r="J501" s="171"/>
    </row>
    <row r="502" spans="10:10" ht="12.75" customHeight="1" x14ac:dyDescent="0.2">
      <c r="J502" s="171"/>
    </row>
    <row r="503" spans="10:10" ht="12.75" customHeight="1" x14ac:dyDescent="0.2">
      <c r="J503" s="171"/>
    </row>
    <row r="504" spans="10:10" ht="12.75" customHeight="1" x14ac:dyDescent="0.2">
      <c r="J504" s="171"/>
    </row>
    <row r="505" spans="10:10" ht="12.75" customHeight="1" x14ac:dyDescent="0.2">
      <c r="J505" s="171"/>
    </row>
    <row r="506" spans="10:10" ht="12.75" customHeight="1" x14ac:dyDescent="0.2">
      <c r="J506" s="171"/>
    </row>
    <row r="507" spans="10:10" ht="12.75" customHeight="1" x14ac:dyDescent="0.2">
      <c r="J507" s="171"/>
    </row>
    <row r="508" spans="10:10" ht="12.75" customHeight="1" x14ac:dyDescent="0.2">
      <c r="J508" s="171"/>
    </row>
    <row r="509" spans="10:10" ht="12.75" customHeight="1" x14ac:dyDescent="0.2">
      <c r="J509" s="171"/>
    </row>
    <row r="510" spans="10:10" ht="12.75" customHeight="1" x14ac:dyDescent="0.2">
      <c r="J510" s="171"/>
    </row>
    <row r="511" spans="10:10" ht="12.75" customHeight="1" x14ac:dyDescent="0.2">
      <c r="J511" s="171"/>
    </row>
    <row r="512" spans="10:10" ht="12.75" customHeight="1" x14ac:dyDescent="0.2">
      <c r="J512" s="171"/>
    </row>
    <row r="513" spans="10:10" ht="12.75" customHeight="1" x14ac:dyDescent="0.2">
      <c r="J513" s="171"/>
    </row>
    <row r="514" spans="10:10" ht="12.75" customHeight="1" x14ac:dyDescent="0.2">
      <c r="J514" s="171"/>
    </row>
    <row r="515" spans="10:10" ht="12.75" customHeight="1" x14ac:dyDescent="0.2">
      <c r="J515" s="171"/>
    </row>
    <row r="516" spans="10:10" ht="12.75" customHeight="1" x14ac:dyDescent="0.2">
      <c r="J516" s="171"/>
    </row>
    <row r="517" spans="10:10" ht="12.75" customHeight="1" x14ac:dyDescent="0.2">
      <c r="J517" s="171"/>
    </row>
    <row r="518" spans="10:10" ht="12.75" customHeight="1" x14ac:dyDescent="0.2">
      <c r="J518" s="171"/>
    </row>
    <row r="519" spans="10:10" ht="12.75" customHeight="1" x14ac:dyDescent="0.2">
      <c r="J519" s="171"/>
    </row>
    <row r="520" spans="10:10" ht="12.75" customHeight="1" x14ac:dyDescent="0.2">
      <c r="J520" s="171"/>
    </row>
    <row r="521" spans="10:10" ht="12.75" customHeight="1" x14ac:dyDescent="0.2">
      <c r="J521" s="171"/>
    </row>
    <row r="522" spans="10:10" ht="12.75" customHeight="1" x14ac:dyDescent="0.2">
      <c r="J522" s="171"/>
    </row>
    <row r="523" spans="10:10" ht="12.75" customHeight="1" x14ac:dyDescent="0.2">
      <c r="J523" s="171"/>
    </row>
    <row r="524" spans="10:10" ht="12.75" customHeight="1" x14ac:dyDescent="0.2">
      <c r="J524" s="171"/>
    </row>
    <row r="525" spans="10:10" ht="12.75" customHeight="1" x14ac:dyDescent="0.2">
      <c r="J525" s="171"/>
    </row>
    <row r="526" spans="10:10" ht="12.75" customHeight="1" x14ac:dyDescent="0.2">
      <c r="J526" s="171"/>
    </row>
    <row r="527" spans="10:10" ht="12.75" customHeight="1" x14ac:dyDescent="0.2">
      <c r="J527" s="171"/>
    </row>
    <row r="528" spans="10:10" ht="12.75" customHeight="1" x14ac:dyDescent="0.2">
      <c r="J528" s="171"/>
    </row>
    <row r="529" spans="10:10" ht="12.75" customHeight="1" x14ac:dyDescent="0.2">
      <c r="J529" s="171"/>
    </row>
    <row r="530" spans="10:10" ht="12.75" customHeight="1" x14ac:dyDescent="0.2">
      <c r="J530" s="171"/>
    </row>
    <row r="531" spans="10:10" ht="12.75" customHeight="1" x14ac:dyDescent="0.2">
      <c r="J531" s="171"/>
    </row>
    <row r="532" spans="10:10" ht="12.75" customHeight="1" x14ac:dyDescent="0.2">
      <c r="J532" s="171"/>
    </row>
    <row r="533" spans="10:10" ht="12.75" customHeight="1" x14ac:dyDescent="0.2">
      <c r="J533" s="171"/>
    </row>
    <row r="534" spans="10:10" ht="12.75" customHeight="1" x14ac:dyDescent="0.2">
      <c r="J534" s="171"/>
    </row>
    <row r="535" spans="10:10" ht="12.75" customHeight="1" x14ac:dyDescent="0.2">
      <c r="J535" s="171"/>
    </row>
    <row r="536" spans="10:10" ht="12.75" customHeight="1" x14ac:dyDescent="0.2">
      <c r="J536" s="171"/>
    </row>
    <row r="537" spans="10:10" ht="12.75" customHeight="1" x14ac:dyDescent="0.2">
      <c r="J537" s="171"/>
    </row>
    <row r="538" spans="10:10" ht="12.75" customHeight="1" x14ac:dyDescent="0.2">
      <c r="J538" s="171"/>
    </row>
    <row r="539" spans="10:10" ht="12.75" customHeight="1" x14ac:dyDescent="0.2">
      <c r="J539" s="171"/>
    </row>
    <row r="540" spans="10:10" ht="12.75" customHeight="1" x14ac:dyDescent="0.2">
      <c r="J540" s="171"/>
    </row>
    <row r="541" spans="10:10" ht="12.75" customHeight="1" x14ac:dyDescent="0.2">
      <c r="J541" s="171"/>
    </row>
    <row r="542" spans="10:10" ht="12.75" customHeight="1" x14ac:dyDescent="0.2">
      <c r="J542" s="171"/>
    </row>
    <row r="543" spans="10:10" ht="12.75" customHeight="1" x14ac:dyDescent="0.2">
      <c r="J543" s="171"/>
    </row>
    <row r="544" spans="10:10" ht="12.75" customHeight="1" x14ac:dyDescent="0.2">
      <c r="J544" s="171"/>
    </row>
    <row r="545" spans="10:10" ht="12.75" customHeight="1" x14ac:dyDescent="0.2">
      <c r="J545" s="171"/>
    </row>
    <row r="546" spans="10:10" ht="12.75" customHeight="1" x14ac:dyDescent="0.2">
      <c r="J546" s="171"/>
    </row>
    <row r="547" spans="10:10" ht="12.75" customHeight="1" x14ac:dyDescent="0.2">
      <c r="J547" s="171"/>
    </row>
    <row r="548" spans="10:10" ht="12.75" customHeight="1" x14ac:dyDescent="0.2">
      <c r="J548" s="171"/>
    </row>
    <row r="549" spans="10:10" ht="12.75" customHeight="1" x14ac:dyDescent="0.2">
      <c r="J549" s="171"/>
    </row>
    <row r="550" spans="10:10" ht="12.75" customHeight="1" x14ac:dyDescent="0.2">
      <c r="J550" s="171"/>
    </row>
    <row r="551" spans="10:10" ht="12.75" customHeight="1" x14ac:dyDescent="0.2">
      <c r="J551" s="171"/>
    </row>
    <row r="552" spans="10:10" ht="12.75" customHeight="1" x14ac:dyDescent="0.2">
      <c r="J552" s="171"/>
    </row>
    <row r="553" spans="10:10" ht="12.75" customHeight="1" x14ac:dyDescent="0.2">
      <c r="J553" s="171"/>
    </row>
    <row r="554" spans="10:10" ht="12.75" customHeight="1" x14ac:dyDescent="0.2">
      <c r="J554" s="171"/>
    </row>
    <row r="555" spans="10:10" ht="12.75" customHeight="1" x14ac:dyDescent="0.2">
      <c r="J555" s="171"/>
    </row>
    <row r="556" spans="10:10" ht="12.75" customHeight="1" x14ac:dyDescent="0.2">
      <c r="J556" s="171"/>
    </row>
    <row r="557" spans="10:10" ht="12.75" customHeight="1" x14ac:dyDescent="0.2">
      <c r="J557" s="171"/>
    </row>
    <row r="558" spans="10:10" ht="12.75" customHeight="1" x14ac:dyDescent="0.2">
      <c r="J558" s="171"/>
    </row>
    <row r="559" spans="10:10" ht="12.75" customHeight="1" x14ac:dyDescent="0.2">
      <c r="J559" s="171"/>
    </row>
    <row r="560" spans="10:10" ht="12.75" customHeight="1" x14ac:dyDescent="0.2">
      <c r="J560" s="171"/>
    </row>
    <row r="561" spans="10:10" ht="12.75" customHeight="1" x14ac:dyDescent="0.2">
      <c r="J561" s="171"/>
    </row>
    <row r="562" spans="10:10" ht="12.75" customHeight="1" x14ac:dyDescent="0.2">
      <c r="J562" s="171"/>
    </row>
    <row r="563" spans="10:10" ht="12.75" customHeight="1" x14ac:dyDescent="0.2">
      <c r="J563" s="171"/>
    </row>
    <row r="564" spans="10:10" ht="12.75" customHeight="1" x14ac:dyDescent="0.2">
      <c r="J564" s="171"/>
    </row>
    <row r="565" spans="10:10" ht="12.75" customHeight="1" x14ac:dyDescent="0.2">
      <c r="J565" s="171"/>
    </row>
    <row r="566" spans="10:10" ht="12.75" customHeight="1" x14ac:dyDescent="0.2">
      <c r="J566" s="171"/>
    </row>
    <row r="567" spans="10:10" ht="12.75" customHeight="1" x14ac:dyDescent="0.2">
      <c r="J567" s="171"/>
    </row>
    <row r="568" spans="10:10" ht="12.75" customHeight="1" x14ac:dyDescent="0.2">
      <c r="J568" s="171"/>
    </row>
    <row r="569" spans="10:10" ht="12.75" customHeight="1" x14ac:dyDescent="0.2">
      <c r="J569" s="171"/>
    </row>
    <row r="570" spans="10:10" ht="12.75" customHeight="1" x14ac:dyDescent="0.2">
      <c r="J570" s="171"/>
    </row>
    <row r="571" spans="10:10" ht="12.75" customHeight="1" x14ac:dyDescent="0.2">
      <c r="J571" s="171"/>
    </row>
    <row r="572" spans="10:10" ht="12.75" customHeight="1" x14ac:dyDescent="0.2">
      <c r="J572" s="171"/>
    </row>
    <row r="573" spans="10:10" ht="12.75" customHeight="1" x14ac:dyDescent="0.2">
      <c r="J573" s="171"/>
    </row>
    <row r="574" spans="10:10" ht="12.75" customHeight="1" x14ac:dyDescent="0.2">
      <c r="J574" s="171"/>
    </row>
    <row r="575" spans="10:10" ht="12.75" customHeight="1" x14ac:dyDescent="0.2">
      <c r="J575" s="171"/>
    </row>
    <row r="576" spans="10:10" ht="12.75" customHeight="1" x14ac:dyDescent="0.2">
      <c r="J576" s="171"/>
    </row>
    <row r="577" spans="10:10" ht="12.75" customHeight="1" x14ac:dyDescent="0.2">
      <c r="J577" s="171"/>
    </row>
    <row r="578" spans="10:10" ht="12.75" customHeight="1" x14ac:dyDescent="0.2">
      <c r="J578" s="171"/>
    </row>
    <row r="579" spans="10:10" ht="12.75" customHeight="1" x14ac:dyDescent="0.2">
      <c r="J579" s="171"/>
    </row>
    <row r="580" spans="10:10" ht="12.75" customHeight="1" x14ac:dyDescent="0.2">
      <c r="J580" s="171"/>
    </row>
    <row r="581" spans="10:10" ht="12.75" customHeight="1" x14ac:dyDescent="0.2">
      <c r="J581" s="171"/>
    </row>
    <row r="582" spans="10:10" ht="12.75" customHeight="1" x14ac:dyDescent="0.2">
      <c r="J582" s="171"/>
    </row>
    <row r="583" spans="10:10" ht="12.75" customHeight="1" x14ac:dyDescent="0.2">
      <c r="J583" s="171"/>
    </row>
    <row r="584" spans="10:10" ht="12.75" customHeight="1" x14ac:dyDescent="0.2">
      <c r="J584" s="171"/>
    </row>
    <row r="585" spans="10:10" ht="12.75" customHeight="1" x14ac:dyDescent="0.2">
      <c r="J585" s="171"/>
    </row>
    <row r="586" spans="10:10" ht="12.75" customHeight="1" x14ac:dyDescent="0.2">
      <c r="J586" s="171"/>
    </row>
    <row r="587" spans="10:10" ht="12.75" customHeight="1" x14ac:dyDescent="0.2">
      <c r="J587" s="171"/>
    </row>
    <row r="588" spans="10:10" ht="12.75" customHeight="1" x14ac:dyDescent="0.2">
      <c r="J588" s="171"/>
    </row>
    <row r="589" spans="10:10" ht="12.75" customHeight="1" x14ac:dyDescent="0.2">
      <c r="J589" s="171"/>
    </row>
    <row r="590" spans="10:10" ht="12.75" customHeight="1" x14ac:dyDescent="0.2">
      <c r="J590" s="171"/>
    </row>
    <row r="591" spans="10:10" ht="12.75" customHeight="1" x14ac:dyDescent="0.2">
      <c r="J591" s="171"/>
    </row>
    <row r="592" spans="10:10" ht="12.75" customHeight="1" x14ac:dyDescent="0.2">
      <c r="J592" s="171"/>
    </row>
    <row r="593" spans="10:10" ht="12.75" customHeight="1" x14ac:dyDescent="0.2">
      <c r="J593" s="171"/>
    </row>
    <row r="594" spans="10:10" ht="12.75" customHeight="1" x14ac:dyDescent="0.2">
      <c r="J594" s="171"/>
    </row>
    <row r="595" spans="10:10" ht="12.75" customHeight="1" x14ac:dyDescent="0.2">
      <c r="J595" s="171"/>
    </row>
    <row r="596" spans="10:10" ht="12.75" customHeight="1" x14ac:dyDescent="0.2">
      <c r="J596" s="171"/>
    </row>
    <row r="597" spans="10:10" ht="12.75" customHeight="1" x14ac:dyDescent="0.2">
      <c r="J597" s="171"/>
    </row>
    <row r="598" spans="10:10" ht="12.75" customHeight="1" x14ac:dyDescent="0.2">
      <c r="J598" s="171"/>
    </row>
    <row r="599" spans="10:10" ht="12.75" customHeight="1" x14ac:dyDescent="0.2">
      <c r="J599" s="171"/>
    </row>
    <row r="600" spans="10:10" ht="12.75" customHeight="1" x14ac:dyDescent="0.2">
      <c r="J600" s="171"/>
    </row>
    <row r="601" spans="10:10" ht="12.75" customHeight="1" x14ac:dyDescent="0.2">
      <c r="J601" s="171"/>
    </row>
    <row r="602" spans="10:10" ht="12.75" customHeight="1" x14ac:dyDescent="0.2">
      <c r="J602" s="171"/>
    </row>
    <row r="603" spans="10:10" ht="12.75" customHeight="1" x14ac:dyDescent="0.2">
      <c r="J603" s="171"/>
    </row>
    <row r="604" spans="10:10" ht="12.75" customHeight="1" x14ac:dyDescent="0.2">
      <c r="J604" s="171"/>
    </row>
    <row r="605" spans="10:10" ht="12.75" customHeight="1" x14ac:dyDescent="0.2">
      <c r="J605" s="171"/>
    </row>
    <row r="606" spans="10:10" ht="12.75" customHeight="1" x14ac:dyDescent="0.2">
      <c r="J606" s="171"/>
    </row>
    <row r="607" spans="10:10" ht="12.75" customHeight="1" x14ac:dyDescent="0.2">
      <c r="J607" s="171"/>
    </row>
    <row r="608" spans="10:10" ht="12.75" customHeight="1" x14ac:dyDescent="0.2">
      <c r="J608" s="171"/>
    </row>
    <row r="609" spans="10:10" ht="12.75" customHeight="1" x14ac:dyDescent="0.2">
      <c r="J609" s="171"/>
    </row>
    <row r="610" spans="10:10" ht="12.75" customHeight="1" x14ac:dyDescent="0.2">
      <c r="J610" s="171"/>
    </row>
    <row r="611" spans="10:10" ht="12.75" customHeight="1" x14ac:dyDescent="0.2">
      <c r="J611" s="171"/>
    </row>
    <row r="612" spans="10:10" ht="12.75" customHeight="1" x14ac:dyDescent="0.2">
      <c r="J612" s="171"/>
    </row>
    <row r="613" spans="10:10" ht="12.75" customHeight="1" x14ac:dyDescent="0.2">
      <c r="J613" s="171"/>
    </row>
    <row r="614" spans="10:10" ht="12.75" customHeight="1" x14ac:dyDescent="0.2">
      <c r="J614" s="171"/>
    </row>
    <row r="615" spans="10:10" ht="12.75" customHeight="1" x14ac:dyDescent="0.2">
      <c r="J615" s="171"/>
    </row>
    <row r="616" spans="10:10" ht="12.75" customHeight="1" x14ac:dyDescent="0.2">
      <c r="J616" s="171"/>
    </row>
    <row r="617" spans="10:10" ht="12.75" customHeight="1" x14ac:dyDescent="0.2">
      <c r="J617" s="171"/>
    </row>
    <row r="618" spans="10:10" ht="12.75" customHeight="1" x14ac:dyDescent="0.2">
      <c r="J618" s="171"/>
    </row>
    <row r="619" spans="10:10" ht="12.75" customHeight="1" x14ac:dyDescent="0.2">
      <c r="J619" s="171"/>
    </row>
    <row r="620" spans="10:10" ht="12.75" customHeight="1" x14ac:dyDescent="0.2">
      <c r="J620" s="171"/>
    </row>
    <row r="621" spans="10:10" ht="12.75" customHeight="1" x14ac:dyDescent="0.2">
      <c r="J621" s="171"/>
    </row>
    <row r="622" spans="10:10" ht="12.75" customHeight="1" x14ac:dyDescent="0.2">
      <c r="J622" s="171"/>
    </row>
    <row r="623" spans="10:10" ht="12.75" customHeight="1" x14ac:dyDescent="0.2">
      <c r="J623" s="171"/>
    </row>
    <row r="624" spans="10:10" ht="12.75" customHeight="1" x14ac:dyDescent="0.2">
      <c r="J624" s="171"/>
    </row>
    <row r="625" spans="10:10" ht="12.75" customHeight="1" x14ac:dyDescent="0.2">
      <c r="J625" s="171"/>
    </row>
    <row r="626" spans="10:10" ht="12.75" customHeight="1" x14ac:dyDescent="0.2">
      <c r="J626" s="171"/>
    </row>
    <row r="627" spans="10:10" ht="12.75" customHeight="1" x14ac:dyDescent="0.2">
      <c r="J627" s="171"/>
    </row>
    <row r="628" spans="10:10" ht="12.75" customHeight="1" x14ac:dyDescent="0.2">
      <c r="J628" s="171"/>
    </row>
    <row r="629" spans="10:10" ht="12.75" customHeight="1" x14ac:dyDescent="0.2">
      <c r="J629" s="171"/>
    </row>
    <row r="630" spans="10:10" ht="12.75" customHeight="1" x14ac:dyDescent="0.2">
      <c r="J630" s="171"/>
    </row>
    <row r="631" spans="10:10" ht="12.75" customHeight="1" x14ac:dyDescent="0.2">
      <c r="J631" s="171"/>
    </row>
    <row r="632" spans="10:10" ht="12.75" customHeight="1" x14ac:dyDescent="0.2">
      <c r="J632" s="171"/>
    </row>
    <row r="633" spans="10:10" ht="12.75" customHeight="1" x14ac:dyDescent="0.2">
      <c r="J633" s="171"/>
    </row>
    <row r="634" spans="10:10" ht="12.75" customHeight="1" x14ac:dyDescent="0.2">
      <c r="J634" s="171"/>
    </row>
    <row r="635" spans="10:10" ht="12.75" customHeight="1" x14ac:dyDescent="0.2">
      <c r="J635" s="171"/>
    </row>
    <row r="636" spans="10:10" ht="12.75" customHeight="1" x14ac:dyDescent="0.2">
      <c r="J636" s="171"/>
    </row>
    <row r="637" spans="10:10" ht="12.75" customHeight="1" x14ac:dyDescent="0.2">
      <c r="J637" s="171"/>
    </row>
    <row r="638" spans="10:10" ht="12.75" customHeight="1" x14ac:dyDescent="0.2">
      <c r="J638" s="171"/>
    </row>
    <row r="639" spans="10:10" ht="12.75" customHeight="1" x14ac:dyDescent="0.2">
      <c r="J639" s="171"/>
    </row>
    <row r="640" spans="10:10" ht="12.75" customHeight="1" x14ac:dyDescent="0.2">
      <c r="J640" s="171"/>
    </row>
    <row r="641" spans="10:10" ht="12.75" customHeight="1" x14ac:dyDescent="0.2">
      <c r="J641" s="171"/>
    </row>
    <row r="642" spans="10:10" ht="12.75" customHeight="1" x14ac:dyDescent="0.2">
      <c r="J642" s="171"/>
    </row>
    <row r="643" spans="10:10" ht="12.75" customHeight="1" x14ac:dyDescent="0.2">
      <c r="J643" s="171"/>
    </row>
    <row r="644" spans="10:10" ht="12.75" customHeight="1" x14ac:dyDescent="0.2">
      <c r="J644" s="171"/>
    </row>
    <row r="645" spans="10:10" ht="12.75" customHeight="1" x14ac:dyDescent="0.2">
      <c r="J645" s="171"/>
    </row>
    <row r="646" spans="10:10" ht="12.75" customHeight="1" x14ac:dyDescent="0.2">
      <c r="J646" s="171"/>
    </row>
    <row r="647" spans="10:10" ht="12.75" customHeight="1" x14ac:dyDescent="0.2">
      <c r="J647" s="171"/>
    </row>
    <row r="648" spans="10:10" ht="12.75" customHeight="1" x14ac:dyDescent="0.2">
      <c r="J648" s="171"/>
    </row>
    <row r="649" spans="10:10" ht="12.75" customHeight="1" x14ac:dyDescent="0.2">
      <c r="J649" s="171"/>
    </row>
    <row r="650" spans="10:10" ht="12.75" customHeight="1" x14ac:dyDescent="0.2">
      <c r="J650" s="171"/>
    </row>
    <row r="651" spans="10:10" ht="12.75" customHeight="1" x14ac:dyDescent="0.2">
      <c r="J651" s="171"/>
    </row>
    <row r="652" spans="10:10" ht="12.75" customHeight="1" x14ac:dyDescent="0.2">
      <c r="J652" s="171"/>
    </row>
    <row r="653" spans="10:10" ht="12.75" customHeight="1" x14ac:dyDescent="0.2">
      <c r="J653" s="171"/>
    </row>
    <row r="654" spans="10:10" ht="12.75" customHeight="1" x14ac:dyDescent="0.2">
      <c r="J654" s="171"/>
    </row>
    <row r="655" spans="10:10" ht="12.75" customHeight="1" x14ac:dyDescent="0.2">
      <c r="J655" s="171"/>
    </row>
    <row r="656" spans="10:10" ht="12.75" customHeight="1" x14ac:dyDescent="0.2">
      <c r="J656" s="171"/>
    </row>
    <row r="657" spans="10:10" ht="12.75" customHeight="1" x14ac:dyDescent="0.2">
      <c r="J657" s="171"/>
    </row>
    <row r="658" spans="10:10" ht="12.75" customHeight="1" x14ac:dyDescent="0.2">
      <c r="J658" s="171"/>
    </row>
    <row r="659" spans="10:10" ht="12.75" customHeight="1" x14ac:dyDescent="0.2">
      <c r="J659" s="171"/>
    </row>
    <row r="660" spans="10:10" ht="12.75" customHeight="1" x14ac:dyDescent="0.2">
      <c r="J660" s="171"/>
    </row>
    <row r="661" spans="10:10" ht="12.75" customHeight="1" x14ac:dyDescent="0.2">
      <c r="J661" s="171"/>
    </row>
    <row r="662" spans="10:10" ht="12.75" customHeight="1" x14ac:dyDescent="0.2">
      <c r="J662" s="171"/>
    </row>
    <row r="663" spans="10:10" ht="12.75" customHeight="1" x14ac:dyDescent="0.2">
      <c r="J663" s="171"/>
    </row>
    <row r="664" spans="10:10" ht="12.75" customHeight="1" x14ac:dyDescent="0.2">
      <c r="J664" s="171"/>
    </row>
    <row r="665" spans="10:10" ht="12.75" customHeight="1" x14ac:dyDescent="0.2">
      <c r="J665" s="171"/>
    </row>
    <row r="666" spans="10:10" ht="12.75" customHeight="1" x14ac:dyDescent="0.2">
      <c r="J666" s="171"/>
    </row>
    <row r="667" spans="10:10" ht="12.75" customHeight="1" x14ac:dyDescent="0.2">
      <c r="J667" s="171"/>
    </row>
    <row r="668" spans="10:10" ht="12.75" customHeight="1" x14ac:dyDescent="0.2">
      <c r="J668" s="171"/>
    </row>
    <row r="669" spans="10:10" ht="12.75" customHeight="1" x14ac:dyDescent="0.2">
      <c r="J669" s="171"/>
    </row>
    <row r="670" spans="10:10" ht="12.75" customHeight="1" x14ac:dyDescent="0.2">
      <c r="J670" s="171"/>
    </row>
    <row r="671" spans="10:10" ht="12.75" customHeight="1" x14ac:dyDescent="0.2">
      <c r="J671" s="171"/>
    </row>
    <row r="672" spans="10:10" ht="12.75" customHeight="1" x14ac:dyDescent="0.2">
      <c r="J672" s="171"/>
    </row>
    <row r="673" spans="10:10" ht="12.75" customHeight="1" x14ac:dyDescent="0.2">
      <c r="J673" s="171"/>
    </row>
    <row r="674" spans="10:10" ht="12.75" customHeight="1" x14ac:dyDescent="0.2">
      <c r="J674" s="171"/>
    </row>
    <row r="675" spans="10:10" ht="12.75" customHeight="1" x14ac:dyDescent="0.2">
      <c r="J675" s="171"/>
    </row>
    <row r="676" spans="10:10" ht="12.75" customHeight="1" x14ac:dyDescent="0.2">
      <c r="J676" s="171"/>
    </row>
    <row r="677" spans="10:10" ht="12.75" customHeight="1" x14ac:dyDescent="0.2">
      <c r="J677" s="171"/>
    </row>
    <row r="678" spans="10:10" ht="12.75" customHeight="1" x14ac:dyDescent="0.2">
      <c r="J678" s="171"/>
    </row>
    <row r="679" spans="10:10" ht="12.75" customHeight="1" x14ac:dyDescent="0.2">
      <c r="J679" s="171"/>
    </row>
    <row r="680" spans="10:10" ht="12.75" customHeight="1" x14ac:dyDescent="0.2">
      <c r="J680" s="171"/>
    </row>
    <row r="681" spans="10:10" ht="12.75" customHeight="1" x14ac:dyDescent="0.2">
      <c r="J681" s="171"/>
    </row>
    <row r="682" spans="10:10" ht="12.75" customHeight="1" x14ac:dyDescent="0.2">
      <c r="J682" s="171"/>
    </row>
    <row r="683" spans="10:10" ht="12.75" customHeight="1" x14ac:dyDescent="0.2">
      <c r="J683" s="171"/>
    </row>
    <row r="684" spans="10:10" ht="12.75" customHeight="1" x14ac:dyDescent="0.2">
      <c r="J684" s="171"/>
    </row>
    <row r="685" spans="10:10" ht="12.75" customHeight="1" x14ac:dyDescent="0.2">
      <c r="J685" s="171"/>
    </row>
    <row r="686" spans="10:10" ht="12.75" customHeight="1" x14ac:dyDescent="0.2">
      <c r="J686" s="171"/>
    </row>
    <row r="687" spans="10:10" ht="12.75" customHeight="1" x14ac:dyDescent="0.2">
      <c r="J687" s="171"/>
    </row>
    <row r="688" spans="10:10" ht="12.75" customHeight="1" x14ac:dyDescent="0.2">
      <c r="J688" s="171"/>
    </row>
    <row r="689" spans="10:10" ht="12.75" customHeight="1" x14ac:dyDescent="0.2">
      <c r="J689" s="171"/>
    </row>
    <row r="690" spans="10:10" ht="12.75" customHeight="1" x14ac:dyDescent="0.2">
      <c r="J690" s="171"/>
    </row>
    <row r="691" spans="10:10" ht="12.75" customHeight="1" x14ac:dyDescent="0.2">
      <c r="J691" s="171"/>
    </row>
    <row r="692" spans="10:10" ht="12.75" customHeight="1" x14ac:dyDescent="0.2">
      <c r="J692" s="171"/>
    </row>
    <row r="693" spans="10:10" ht="12.75" customHeight="1" x14ac:dyDescent="0.2">
      <c r="J693" s="171"/>
    </row>
    <row r="694" spans="10:10" ht="12.75" customHeight="1" x14ac:dyDescent="0.2">
      <c r="J694" s="171"/>
    </row>
    <row r="695" spans="10:10" ht="12.75" customHeight="1" x14ac:dyDescent="0.2">
      <c r="J695" s="171"/>
    </row>
    <row r="696" spans="10:10" ht="12.75" customHeight="1" x14ac:dyDescent="0.2">
      <c r="J696" s="171"/>
    </row>
    <row r="697" spans="10:10" ht="12.75" customHeight="1" x14ac:dyDescent="0.2">
      <c r="J697" s="171"/>
    </row>
    <row r="698" spans="10:10" ht="12.75" customHeight="1" x14ac:dyDescent="0.2">
      <c r="J698" s="171"/>
    </row>
    <row r="699" spans="10:10" ht="12.75" customHeight="1" x14ac:dyDescent="0.2">
      <c r="J699" s="171"/>
    </row>
    <row r="700" spans="10:10" ht="12.75" customHeight="1" x14ac:dyDescent="0.2">
      <c r="J700" s="171"/>
    </row>
    <row r="701" spans="10:10" ht="12.75" customHeight="1" x14ac:dyDescent="0.2">
      <c r="J701" s="171"/>
    </row>
    <row r="702" spans="10:10" ht="12.75" customHeight="1" x14ac:dyDescent="0.2">
      <c r="J702" s="171"/>
    </row>
    <row r="703" spans="10:10" ht="12.75" customHeight="1" x14ac:dyDescent="0.2">
      <c r="J703" s="171"/>
    </row>
    <row r="704" spans="10:10" ht="12.75" customHeight="1" x14ac:dyDescent="0.2">
      <c r="J704" s="171"/>
    </row>
    <row r="705" spans="10:10" ht="12.75" customHeight="1" x14ac:dyDescent="0.2">
      <c r="J705" s="171"/>
    </row>
    <row r="706" spans="10:10" ht="12.75" customHeight="1" x14ac:dyDescent="0.2">
      <c r="J706" s="171"/>
    </row>
    <row r="707" spans="10:10" ht="12.75" customHeight="1" x14ac:dyDescent="0.2">
      <c r="J707" s="171"/>
    </row>
    <row r="708" spans="10:10" ht="12.75" customHeight="1" x14ac:dyDescent="0.2">
      <c r="J708" s="171"/>
    </row>
    <row r="709" spans="10:10" ht="12.75" customHeight="1" x14ac:dyDescent="0.2">
      <c r="J709" s="171"/>
    </row>
    <row r="710" spans="10:10" ht="12.75" customHeight="1" x14ac:dyDescent="0.2">
      <c r="J710" s="171"/>
    </row>
    <row r="711" spans="10:10" ht="12.75" customHeight="1" x14ac:dyDescent="0.2">
      <c r="J711" s="171"/>
    </row>
    <row r="712" spans="10:10" ht="12.75" customHeight="1" x14ac:dyDescent="0.2">
      <c r="J712" s="171"/>
    </row>
    <row r="713" spans="10:10" ht="12.75" customHeight="1" x14ac:dyDescent="0.2">
      <c r="J713" s="171"/>
    </row>
    <row r="714" spans="10:10" ht="12.75" customHeight="1" x14ac:dyDescent="0.2">
      <c r="J714" s="171"/>
    </row>
    <row r="715" spans="10:10" ht="12.75" customHeight="1" x14ac:dyDescent="0.2">
      <c r="J715" s="171"/>
    </row>
    <row r="716" spans="10:10" ht="12.75" customHeight="1" x14ac:dyDescent="0.2">
      <c r="J716" s="171"/>
    </row>
    <row r="717" spans="10:10" ht="12.75" customHeight="1" x14ac:dyDescent="0.2">
      <c r="J717" s="171"/>
    </row>
    <row r="718" spans="10:10" ht="12.75" customHeight="1" x14ac:dyDescent="0.2">
      <c r="J718" s="171"/>
    </row>
    <row r="719" spans="10:10" ht="12.75" customHeight="1" x14ac:dyDescent="0.2">
      <c r="J719" s="171"/>
    </row>
    <row r="720" spans="10:10" ht="12.75" customHeight="1" x14ac:dyDescent="0.2">
      <c r="J720" s="171"/>
    </row>
    <row r="721" spans="10:10" ht="12.75" customHeight="1" x14ac:dyDescent="0.2">
      <c r="J721" s="171"/>
    </row>
    <row r="722" spans="10:10" ht="12.75" customHeight="1" x14ac:dyDescent="0.2">
      <c r="J722" s="171"/>
    </row>
    <row r="723" spans="10:10" ht="12.75" customHeight="1" x14ac:dyDescent="0.2">
      <c r="J723" s="171"/>
    </row>
    <row r="724" spans="10:10" ht="12.75" customHeight="1" x14ac:dyDescent="0.2">
      <c r="J724" s="171"/>
    </row>
    <row r="725" spans="10:10" ht="12.75" customHeight="1" x14ac:dyDescent="0.2">
      <c r="J725" s="171"/>
    </row>
    <row r="726" spans="10:10" ht="12.75" customHeight="1" x14ac:dyDescent="0.2">
      <c r="J726" s="171"/>
    </row>
    <row r="727" spans="10:10" ht="12.75" customHeight="1" x14ac:dyDescent="0.2">
      <c r="J727" s="171"/>
    </row>
    <row r="728" spans="10:10" ht="12.75" customHeight="1" x14ac:dyDescent="0.2">
      <c r="J728" s="171"/>
    </row>
    <row r="729" spans="10:10" ht="12.75" customHeight="1" x14ac:dyDescent="0.2">
      <c r="J729" s="171"/>
    </row>
    <row r="730" spans="10:10" ht="12.75" customHeight="1" x14ac:dyDescent="0.2">
      <c r="J730" s="171"/>
    </row>
    <row r="731" spans="10:10" ht="12.75" customHeight="1" x14ac:dyDescent="0.2">
      <c r="J731" s="171"/>
    </row>
    <row r="732" spans="10:10" ht="12.75" customHeight="1" x14ac:dyDescent="0.2">
      <c r="J732" s="171"/>
    </row>
    <row r="733" spans="10:10" ht="12.75" customHeight="1" x14ac:dyDescent="0.2">
      <c r="J733" s="171"/>
    </row>
    <row r="734" spans="10:10" ht="12.75" customHeight="1" x14ac:dyDescent="0.2">
      <c r="J734" s="171"/>
    </row>
    <row r="735" spans="10:10" ht="12.75" customHeight="1" x14ac:dyDescent="0.2">
      <c r="J735" s="171"/>
    </row>
    <row r="736" spans="10:10" ht="12.75" customHeight="1" x14ac:dyDescent="0.2">
      <c r="J736" s="171"/>
    </row>
    <row r="737" spans="10:10" ht="12.75" customHeight="1" x14ac:dyDescent="0.2">
      <c r="J737" s="171"/>
    </row>
    <row r="738" spans="10:10" ht="12.75" customHeight="1" x14ac:dyDescent="0.2">
      <c r="J738" s="171"/>
    </row>
    <row r="739" spans="10:10" ht="12.75" customHeight="1" x14ac:dyDescent="0.2">
      <c r="J739" s="171"/>
    </row>
    <row r="740" spans="10:10" ht="12.75" customHeight="1" x14ac:dyDescent="0.2">
      <c r="J740" s="171"/>
    </row>
    <row r="741" spans="10:10" ht="12.75" customHeight="1" x14ac:dyDescent="0.2">
      <c r="J741" s="171"/>
    </row>
    <row r="742" spans="10:10" ht="12.75" customHeight="1" x14ac:dyDescent="0.2">
      <c r="J742" s="171"/>
    </row>
    <row r="743" spans="10:10" ht="12.75" customHeight="1" x14ac:dyDescent="0.2">
      <c r="J743" s="171"/>
    </row>
    <row r="744" spans="10:10" ht="12.75" customHeight="1" x14ac:dyDescent="0.2">
      <c r="J744" s="171"/>
    </row>
    <row r="745" spans="10:10" ht="12.75" customHeight="1" x14ac:dyDescent="0.2">
      <c r="J745" s="171"/>
    </row>
    <row r="746" spans="10:10" ht="12.75" customHeight="1" x14ac:dyDescent="0.2">
      <c r="J746" s="171"/>
    </row>
    <row r="747" spans="10:10" ht="12.75" customHeight="1" x14ac:dyDescent="0.2">
      <c r="J747" s="171"/>
    </row>
    <row r="748" spans="10:10" ht="12.75" customHeight="1" x14ac:dyDescent="0.2">
      <c r="J748" s="171"/>
    </row>
    <row r="749" spans="10:10" ht="12.75" customHeight="1" x14ac:dyDescent="0.2">
      <c r="J749" s="171"/>
    </row>
    <row r="750" spans="10:10" ht="12.75" customHeight="1" x14ac:dyDescent="0.2">
      <c r="J750" s="171"/>
    </row>
    <row r="751" spans="10:10" ht="12.75" customHeight="1" x14ac:dyDescent="0.2">
      <c r="J751" s="171"/>
    </row>
    <row r="752" spans="10:10" ht="12.75" customHeight="1" x14ac:dyDescent="0.2">
      <c r="J752" s="171"/>
    </row>
    <row r="753" spans="10:10" ht="12.75" customHeight="1" x14ac:dyDescent="0.2">
      <c r="J753" s="171"/>
    </row>
    <row r="754" spans="10:10" ht="12.75" customHeight="1" x14ac:dyDescent="0.2">
      <c r="J754" s="171"/>
    </row>
    <row r="755" spans="10:10" ht="12.75" customHeight="1" x14ac:dyDescent="0.2">
      <c r="J755" s="171"/>
    </row>
    <row r="756" spans="10:10" ht="12.75" customHeight="1" x14ac:dyDescent="0.2">
      <c r="J756" s="171"/>
    </row>
    <row r="757" spans="10:10" ht="12.75" customHeight="1" x14ac:dyDescent="0.2">
      <c r="J757" s="171"/>
    </row>
    <row r="758" spans="10:10" ht="12.75" customHeight="1" x14ac:dyDescent="0.2">
      <c r="J758" s="171"/>
    </row>
    <row r="759" spans="10:10" ht="12.75" customHeight="1" x14ac:dyDescent="0.2">
      <c r="J759" s="171"/>
    </row>
    <row r="760" spans="10:10" ht="12.75" customHeight="1" x14ac:dyDescent="0.2">
      <c r="J760" s="171"/>
    </row>
    <row r="761" spans="10:10" ht="12.75" customHeight="1" x14ac:dyDescent="0.2">
      <c r="J761" s="171"/>
    </row>
    <row r="762" spans="10:10" ht="12.75" customHeight="1" x14ac:dyDescent="0.2">
      <c r="J762" s="171"/>
    </row>
    <row r="763" spans="10:10" ht="12.75" customHeight="1" x14ac:dyDescent="0.2">
      <c r="J763" s="171"/>
    </row>
    <row r="764" spans="10:10" ht="12.75" customHeight="1" x14ac:dyDescent="0.2">
      <c r="J764" s="171"/>
    </row>
    <row r="765" spans="10:10" ht="12.75" customHeight="1" x14ac:dyDescent="0.2">
      <c r="J765" s="171"/>
    </row>
    <row r="766" spans="10:10" ht="12.75" customHeight="1" x14ac:dyDescent="0.2">
      <c r="J766" s="171"/>
    </row>
    <row r="767" spans="10:10" ht="12.75" customHeight="1" x14ac:dyDescent="0.2">
      <c r="J767" s="171"/>
    </row>
    <row r="768" spans="10:10" ht="12.75" customHeight="1" x14ac:dyDescent="0.2">
      <c r="J768" s="171"/>
    </row>
    <row r="769" spans="10:10" ht="12.75" customHeight="1" x14ac:dyDescent="0.2">
      <c r="J769" s="171"/>
    </row>
    <row r="770" spans="10:10" ht="12.75" customHeight="1" x14ac:dyDescent="0.2">
      <c r="J770" s="171"/>
    </row>
    <row r="771" spans="10:10" ht="12.75" customHeight="1" x14ac:dyDescent="0.2">
      <c r="J771" s="171"/>
    </row>
    <row r="772" spans="10:10" ht="12.75" customHeight="1" x14ac:dyDescent="0.2">
      <c r="J772" s="171"/>
    </row>
    <row r="773" spans="10:10" ht="12.75" customHeight="1" x14ac:dyDescent="0.2">
      <c r="J773" s="171"/>
    </row>
    <row r="774" spans="10:10" ht="12.75" customHeight="1" x14ac:dyDescent="0.2">
      <c r="J774" s="171"/>
    </row>
    <row r="775" spans="10:10" ht="12.75" customHeight="1" x14ac:dyDescent="0.2">
      <c r="J775" s="171"/>
    </row>
    <row r="776" spans="10:10" ht="12.75" customHeight="1" x14ac:dyDescent="0.2">
      <c r="J776" s="171"/>
    </row>
    <row r="777" spans="10:10" ht="12.75" customHeight="1" x14ac:dyDescent="0.2">
      <c r="J777" s="171"/>
    </row>
    <row r="778" spans="10:10" ht="12.75" customHeight="1" x14ac:dyDescent="0.2">
      <c r="J778" s="171"/>
    </row>
    <row r="779" spans="10:10" ht="12.75" customHeight="1" x14ac:dyDescent="0.2">
      <c r="J779" s="171"/>
    </row>
    <row r="780" spans="10:10" ht="12.75" customHeight="1" x14ac:dyDescent="0.2">
      <c r="J780" s="171"/>
    </row>
    <row r="781" spans="10:10" ht="12.75" customHeight="1" x14ac:dyDescent="0.2">
      <c r="J781" s="171"/>
    </row>
    <row r="782" spans="10:10" ht="12.75" customHeight="1" x14ac:dyDescent="0.2">
      <c r="J782" s="171"/>
    </row>
    <row r="783" spans="10:10" ht="12.75" customHeight="1" x14ac:dyDescent="0.2">
      <c r="J783" s="171"/>
    </row>
    <row r="784" spans="10:10" ht="12.75" customHeight="1" x14ac:dyDescent="0.2">
      <c r="J784" s="171"/>
    </row>
    <row r="785" spans="10:10" ht="12.75" customHeight="1" x14ac:dyDescent="0.2">
      <c r="J785" s="171"/>
    </row>
    <row r="786" spans="10:10" ht="12.75" customHeight="1" x14ac:dyDescent="0.2">
      <c r="J786" s="171"/>
    </row>
    <row r="787" spans="10:10" ht="12.75" customHeight="1" x14ac:dyDescent="0.2">
      <c r="J787" s="171"/>
    </row>
    <row r="788" spans="10:10" ht="12.75" customHeight="1" x14ac:dyDescent="0.2">
      <c r="J788" s="171"/>
    </row>
    <row r="789" spans="10:10" ht="12.75" customHeight="1" x14ac:dyDescent="0.2">
      <c r="J789" s="171"/>
    </row>
    <row r="790" spans="10:10" ht="12.75" customHeight="1" x14ac:dyDescent="0.2">
      <c r="J790" s="171"/>
    </row>
    <row r="791" spans="10:10" ht="12.75" customHeight="1" x14ac:dyDescent="0.2">
      <c r="J791" s="171"/>
    </row>
    <row r="792" spans="10:10" ht="12.75" customHeight="1" x14ac:dyDescent="0.2">
      <c r="J792" s="171"/>
    </row>
    <row r="793" spans="10:10" ht="12.75" customHeight="1" x14ac:dyDescent="0.2">
      <c r="J793" s="171"/>
    </row>
    <row r="794" spans="10:10" ht="12.75" customHeight="1" x14ac:dyDescent="0.2">
      <c r="J794" s="171"/>
    </row>
    <row r="795" spans="10:10" ht="12.75" customHeight="1" x14ac:dyDescent="0.2">
      <c r="J795" s="171"/>
    </row>
    <row r="796" spans="10:10" ht="12.75" customHeight="1" x14ac:dyDescent="0.2">
      <c r="J796" s="171"/>
    </row>
    <row r="797" spans="10:10" ht="12.75" customHeight="1" x14ac:dyDescent="0.2">
      <c r="J797" s="171"/>
    </row>
    <row r="798" spans="10:10" ht="12.75" customHeight="1" x14ac:dyDescent="0.2">
      <c r="J798" s="171"/>
    </row>
    <row r="799" spans="10:10" ht="12.75" customHeight="1" x14ac:dyDescent="0.2">
      <c r="J799" s="171"/>
    </row>
    <row r="800" spans="10:10" ht="12.75" customHeight="1" x14ac:dyDescent="0.2">
      <c r="J800" s="171"/>
    </row>
    <row r="801" spans="10:10" ht="12.75" customHeight="1" x14ac:dyDescent="0.2">
      <c r="J801" s="171"/>
    </row>
    <row r="802" spans="10:10" ht="12.75" customHeight="1" x14ac:dyDescent="0.2">
      <c r="J802" s="171"/>
    </row>
    <row r="803" spans="10:10" ht="12.75" customHeight="1" x14ac:dyDescent="0.2">
      <c r="J803" s="171"/>
    </row>
    <row r="804" spans="10:10" ht="12.75" customHeight="1" x14ac:dyDescent="0.2">
      <c r="J804" s="171"/>
    </row>
    <row r="805" spans="10:10" ht="12.75" customHeight="1" x14ac:dyDescent="0.2">
      <c r="J805" s="171"/>
    </row>
    <row r="806" spans="10:10" ht="12.75" customHeight="1" x14ac:dyDescent="0.2">
      <c r="J806" s="171"/>
    </row>
    <row r="807" spans="10:10" ht="12.75" customHeight="1" x14ac:dyDescent="0.2">
      <c r="J807" s="171"/>
    </row>
    <row r="808" spans="10:10" ht="12.75" customHeight="1" x14ac:dyDescent="0.2">
      <c r="J808" s="171"/>
    </row>
    <row r="809" spans="10:10" ht="12.75" customHeight="1" x14ac:dyDescent="0.2">
      <c r="J809" s="171"/>
    </row>
    <row r="810" spans="10:10" ht="12.75" customHeight="1" x14ac:dyDescent="0.2">
      <c r="J810" s="171"/>
    </row>
    <row r="811" spans="10:10" ht="12.75" customHeight="1" x14ac:dyDescent="0.2">
      <c r="J811" s="171"/>
    </row>
    <row r="812" spans="10:10" ht="12.75" customHeight="1" x14ac:dyDescent="0.2">
      <c r="J812" s="171"/>
    </row>
    <row r="813" spans="10:10" ht="12.75" customHeight="1" x14ac:dyDescent="0.2">
      <c r="J813" s="171"/>
    </row>
    <row r="814" spans="10:10" ht="12.75" customHeight="1" x14ac:dyDescent="0.2">
      <c r="J814" s="171"/>
    </row>
    <row r="815" spans="10:10" ht="12.75" customHeight="1" x14ac:dyDescent="0.2">
      <c r="J815" s="171"/>
    </row>
    <row r="816" spans="10:10" ht="12.75" customHeight="1" x14ac:dyDescent="0.2">
      <c r="J816" s="171"/>
    </row>
    <row r="817" spans="10:10" ht="12.75" customHeight="1" x14ac:dyDescent="0.2">
      <c r="J817" s="171"/>
    </row>
    <row r="818" spans="10:10" ht="12.75" customHeight="1" x14ac:dyDescent="0.2">
      <c r="J818" s="171"/>
    </row>
    <row r="819" spans="10:10" ht="12.75" customHeight="1" x14ac:dyDescent="0.2">
      <c r="J819" s="171"/>
    </row>
    <row r="820" spans="10:10" ht="12.75" customHeight="1" x14ac:dyDescent="0.2">
      <c r="J820" s="171"/>
    </row>
    <row r="821" spans="10:10" ht="12.75" customHeight="1" x14ac:dyDescent="0.2">
      <c r="J821" s="171"/>
    </row>
    <row r="822" spans="10:10" ht="12.75" customHeight="1" x14ac:dyDescent="0.2">
      <c r="J822" s="171"/>
    </row>
    <row r="823" spans="10:10" ht="12.75" customHeight="1" x14ac:dyDescent="0.2">
      <c r="J823" s="171"/>
    </row>
    <row r="824" spans="10:10" ht="12.75" customHeight="1" x14ac:dyDescent="0.2">
      <c r="J824" s="171"/>
    </row>
    <row r="825" spans="10:10" ht="12.75" customHeight="1" x14ac:dyDescent="0.2">
      <c r="J825" s="171"/>
    </row>
    <row r="826" spans="10:10" ht="12.75" customHeight="1" x14ac:dyDescent="0.2">
      <c r="J826" s="171"/>
    </row>
    <row r="827" spans="10:10" ht="12.75" customHeight="1" x14ac:dyDescent="0.2">
      <c r="J827" s="171"/>
    </row>
    <row r="828" spans="10:10" ht="12.75" customHeight="1" x14ac:dyDescent="0.2">
      <c r="J828" s="171"/>
    </row>
    <row r="829" spans="10:10" ht="12.75" customHeight="1" x14ac:dyDescent="0.2">
      <c r="J829" s="171"/>
    </row>
    <row r="830" spans="10:10" ht="12.75" customHeight="1" x14ac:dyDescent="0.2">
      <c r="J830" s="171"/>
    </row>
    <row r="831" spans="10:10" ht="12.75" customHeight="1" x14ac:dyDescent="0.2">
      <c r="J831" s="171"/>
    </row>
    <row r="832" spans="10:10" ht="12.75" customHeight="1" x14ac:dyDescent="0.2">
      <c r="J832" s="171"/>
    </row>
    <row r="833" spans="10:10" ht="12.75" customHeight="1" x14ac:dyDescent="0.2">
      <c r="J833" s="171"/>
    </row>
    <row r="834" spans="10:10" ht="12.75" customHeight="1" x14ac:dyDescent="0.2">
      <c r="J834" s="171"/>
    </row>
    <row r="835" spans="10:10" ht="12.75" customHeight="1" x14ac:dyDescent="0.2">
      <c r="J835" s="171"/>
    </row>
    <row r="836" spans="10:10" ht="12.75" customHeight="1" x14ac:dyDescent="0.2">
      <c r="J836" s="171"/>
    </row>
    <row r="837" spans="10:10" ht="12.75" customHeight="1" x14ac:dyDescent="0.2">
      <c r="J837" s="171"/>
    </row>
    <row r="838" spans="10:10" ht="12.75" customHeight="1" x14ac:dyDescent="0.2">
      <c r="J838" s="171"/>
    </row>
    <row r="839" spans="10:10" ht="12.75" customHeight="1" x14ac:dyDescent="0.2">
      <c r="J839" s="171"/>
    </row>
    <row r="840" spans="10:10" ht="12.75" customHeight="1" x14ac:dyDescent="0.2">
      <c r="J840" s="171"/>
    </row>
    <row r="841" spans="10:10" ht="12.75" customHeight="1" x14ac:dyDescent="0.2">
      <c r="J841" s="171"/>
    </row>
    <row r="842" spans="10:10" ht="12.75" customHeight="1" x14ac:dyDescent="0.2">
      <c r="J842" s="171"/>
    </row>
    <row r="843" spans="10:10" ht="12.75" customHeight="1" x14ac:dyDescent="0.2">
      <c r="J843" s="171"/>
    </row>
    <row r="844" spans="10:10" ht="12.75" customHeight="1" x14ac:dyDescent="0.2">
      <c r="J844" s="171"/>
    </row>
    <row r="845" spans="10:10" ht="12.75" customHeight="1" x14ac:dyDescent="0.2">
      <c r="J845" s="171"/>
    </row>
    <row r="846" spans="10:10" ht="12.75" customHeight="1" x14ac:dyDescent="0.2">
      <c r="J846" s="171"/>
    </row>
    <row r="847" spans="10:10" ht="12.75" customHeight="1" x14ac:dyDescent="0.2">
      <c r="J847" s="171"/>
    </row>
    <row r="848" spans="10:10" ht="12.75" customHeight="1" x14ac:dyDescent="0.2">
      <c r="J848" s="171"/>
    </row>
    <row r="849" spans="10:10" ht="12.75" customHeight="1" x14ac:dyDescent="0.2">
      <c r="J849" s="171"/>
    </row>
    <row r="850" spans="10:10" ht="12.75" customHeight="1" x14ac:dyDescent="0.2">
      <c r="J850" s="171"/>
    </row>
    <row r="851" spans="10:10" ht="12.75" customHeight="1" x14ac:dyDescent="0.2">
      <c r="J851" s="171"/>
    </row>
    <row r="852" spans="10:10" ht="12.75" customHeight="1" x14ac:dyDescent="0.2">
      <c r="J852" s="171"/>
    </row>
    <row r="853" spans="10:10" ht="12.75" customHeight="1" x14ac:dyDescent="0.2">
      <c r="J853" s="171"/>
    </row>
    <row r="854" spans="10:10" ht="12.75" customHeight="1" x14ac:dyDescent="0.2">
      <c r="J854" s="171"/>
    </row>
    <row r="855" spans="10:10" ht="12.75" customHeight="1" x14ac:dyDescent="0.2">
      <c r="J855" s="171"/>
    </row>
    <row r="856" spans="10:10" ht="12.75" customHeight="1" x14ac:dyDescent="0.2">
      <c r="J856" s="171"/>
    </row>
    <row r="857" spans="10:10" ht="12.75" customHeight="1" x14ac:dyDescent="0.2">
      <c r="J857" s="171"/>
    </row>
    <row r="858" spans="10:10" ht="12.75" customHeight="1" x14ac:dyDescent="0.2">
      <c r="J858" s="171"/>
    </row>
    <row r="859" spans="10:10" ht="12.75" customHeight="1" x14ac:dyDescent="0.2">
      <c r="J859" s="171"/>
    </row>
    <row r="860" spans="10:10" ht="12.75" customHeight="1" x14ac:dyDescent="0.2">
      <c r="J860" s="171"/>
    </row>
    <row r="861" spans="10:10" ht="12.75" customHeight="1" x14ac:dyDescent="0.2">
      <c r="J861" s="171"/>
    </row>
    <row r="862" spans="10:10" ht="12.75" customHeight="1" x14ac:dyDescent="0.2">
      <c r="J862" s="171"/>
    </row>
    <row r="863" spans="10:10" ht="12.75" customHeight="1" x14ac:dyDescent="0.2">
      <c r="J863" s="171"/>
    </row>
    <row r="864" spans="10:10" ht="12.75" customHeight="1" x14ac:dyDescent="0.2">
      <c r="J864" s="171"/>
    </row>
    <row r="865" spans="10:10" ht="12.75" customHeight="1" x14ac:dyDescent="0.2">
      <c r="J865" s="171"/>
    </row>
    <row r="866" spans="10:10" ht="12.75" customHeight="1" x14ac:dyDescent="0.2">
      <c r="J866" s="171"/>
    </row>
    <row r="867" spans="10:10" ht="12.75" customHeight="1" x14ac:dyDescent="0.2">
      <c r="J867" s="171"/>
    </row>
    <row r="868" spans="10:10" ht="12.75" customHeight="1" x14ac:dyDescent="0.2">
      <c r="J868" s="171"/>
    </row>
    <row r="869" spans="10:10" ht="12.75" customHeight="1" x14ac:dyDescent="0.2">
      <c r="J869" s="171"/>
    </row>
    <row r="870" spans="10:10" ht="12.75" customHeight="1" x14ac:dyDescent="0.2">
      <c r="J870" s="171"/>
    </row>
    <row r="871" spans="10:10" ht="12.75" customHeight="1" x14ac:dyDescent="0.2">
      <c r="J871" s="171"/>
    </row>
    <row r="872" spans="10:10" ht="12.75" customHeight="1" x14ac:dyDescent="0.2">
      <c r="J872" s="171"/>
    </row>
    <row r="873" spans="10:10" ht="12.75" customHeight="1" x14ac:dyDescent="0.2">
      <c r="J873" s="171"/>
    </row>
    <row r="874" spans="10:10" ht="12.75" customHeight="1" x14ac:dyDescent="0.2">
      <c r="J874" s="171"/>
    </row>
    <row r="875" spans="10:10" ht="12.75" customHeight="1" x14ac:dyDescent="0.2">
      <c r="J875" s="171"/>
    </row>
    <row r="876" spans="10:10" ht="12.75" customHeight="1" x14ac:dyDescent="0.2">
      <c r="J876" s="171"/>
    </row>
    <row r="877" spans="10:10" ht="12.75" customHeight="1" x14ac:dyDescent="0.2">
      <c r="J877" s="171"/>
    </row>
    <row r="878" spans="10:10" ht="12.75" customHeight="1" x14ac:dyDescent="0.2">
      <c r="J878" s="171"/>
    </row>
    <row r="879" spans="10:10" ht="12.75" customHeight="1" x14ac:dyDescent="0.2">
      <c r="J879" s="171"/>
    </row>
    <row r="880" spans="10:10" ht="12.75" customHeight="1" x14ac:dyDescent="0.2">
      <c r="J880" s="171"/>
    </row>
    <row r="881" spans="10:10" ht="12.75" customHeight="1" x14ac:dyDescent="0.2">
      <c r="J881" s="171"/>
    </row>
    <row r="882" spans="10:10" ht="12.75" customHeight="1" x14ac:dyDescent="0.2">
      <c r="J882" s="171"/>
    </row>
    <row r="883" spans="10:10" ht="12.75" customHeight="1" x14ac:dyDescent="0.2">
      <c r="J883" s="171"/>
    </row>
    <row r="884" spans="10:10" ht="12.75" customHeight="1" x14ac:dyDescent="0.2">
      <c r="J884" s="171"/>
    </row>
    <row r="885" spans="10:10" ht="12.75" customHeight="1" x14ac:dyDescent="0.2">
      <c r="J885" s="171"/>
    </row>
    <row r="886" spans="10:10" ht="12.75" customHeight="1" x14ac:dyDescent="0.2">
      <c r="J886" s="171"/>
    </row>
    <row r="887" spans="10:10" ht="12.75" customHeight="1" x14ac:dyDescent="0.2">
      <c r="J887" s="171"/>
    </row>
    <row r="888" spans="10:10" ht="12.75" customHeight="1" x14ac:dyDescent="0.2">
      <c r="J888" s="171"/>
    </row>
    <row r="889" spans="10:10" ht="12.75" customHeight="1" x14ac:dyDescent="0.2">
      <c r="J889" s="171"/>
    </row>
    <row r="890" spans="10:10" ht="12.75" customHeight="1" x14ac:dyDescent="0.2">
      <c r="J890" s="171"/>
    </row>
    <row r="891" spans="10:10" ht="12.75" customHeight="1" x14ac:dyDescent="0.2">
      <c r="J891" s="171"/>
    </row>
    <row r="892" spans="10:10" ht="12.75" customHeight="1" x14ac:dyDescent="0.2">
      <c r="J892" s="171"/>
    </row>
    <row r="893" spans="10:10" ht="12.75" customHeight="1" x14ac:dyDescent="0.2">
      <c r="J893" s="171"/>
    </row>
    <row r="894" spans="10:10" ht="12.75" customHeight="1" x14ac:dyDescent="0.2">
      <c r="J894" s="171"/>
    </row>
    <row r="895" spans="10:10" ht="12.75" customHeight="1" x14ac:dyDescent="0.2">
      <c r="J895" s="171"/>
    </row>
    <row r="896" spans="10:10" ht="12.75" customHeight="1" x14ac:dyDescent="0.2">
      <c r="J896" s="171"/>
    </row>
    <row r="897" spans="10:10" ht="12.75" customHeight="1" x14ac:dyDescent="0.2">
      <c r="J897" s="171"/>
    </row>
    <row r="898" spans="10:10" ht="12.75" customHeight="1" x14ac:dyDescent="0.2">
      <c r="J898" s="171"/>
    </row>
    <row r="899" spans="10:10" ht="12.75" customHeight="1" x14ac:dyDescent="0.2">
      <c r="J899" s="171"/>
    </row>
    <row r="900" spans="10:10" ht="12.75" customHeight="1" x14ac:dyDescent="0.2">
      <c r="J900" s="171"/>
    </row>
    <row r="901" spans="10:10" ht="12.75" customHeight="1" x14ac:dyDescent="0.2">
      <c r="J901" s="171"/>
    </row>
    <row r="902" spans="10:10" ht="12.75" customHeight="1" x14ac:dyDescent="0.2">
      <c r="J902" s="171"/>
    </row>
    <row r="903" spans="10:10" ht="12.75" customHeight="1" x14ac:dyDescent="0.2">
      <c r="J903" s="171"/>
    </row>
    <row r="904" spans="10:10" ht="12.75" customHeight="1" x14ac:dyDescent="0.2">
      <c r="J904" s="171"/>
    </row>
    <row r="905" spans="10:10" ht="12.75" customHeight="1" x14ac:dyDescent="0.2">
      <c r="J905" s="171"/>
    </row>
    <row r="906" spans="10:10" ht="12.75" customHeight="1" x14ac:dyDescent="0.2">
      <c r="J906" s="171"/>
    </row>
    <row r="907" spans="10:10" ht="12.75" customHeight="1" x14ac:dyDescent="0.2">
      <c r="J907" s="171"/>
    </row>
    <row r="908" spans="10:10" ht="12.75" customHeight="1" x14ac:dyDescent="0.2">
      <c r="J908" s="171"/>
    </row>
    <row r="909" spans="10:10" ht="12.75" customHeight="1" x14ac:dyDescent="0.2">
      <c r="J909" s="171"/>
    </row>
    <row r="910" spans="10:10" ht="12.75" customHeight="1" x14ac:dyDescent="0.2">
      <c r="J910" s="171"/>
    </row>
    <row r="911" spans="10:10" ht="12.75" customHeight="1" x14ac:dyDescent="0.2">
      <c r="J911" s="171"/>
    </row>
    <row r="912" spans="10:10" ht="12.75" customHeight="1" x14ac:dyDescent="0.2">
      <c r="J912" s="171"/>
    </row>
    <row r="913" spans="10:10" ht="12.75" customHeight="1" x14ac:dyDescent="0.2">
      <c r="J913" s="171"/>
    </row>
    <row r="914" spans="10:10" ht="12.75" customHeight="1" x14ac:dyDescent="0.2">
      <c r="J914" s="171"/>
    </row>
    <row r="915" spans="10:10" ht="12.75" customHeight="1" x14ac:dyDescent="0.2">
      <c r="J915" s="171"/>
    </row>
    <row r="916" spans="10:10" ht="12.75" customHeight="1" x14ac:dyDescent="0.2">
      <c r="J916" s="171"/>
    </row>
    <row r="917" spans="10:10" ht="12.75" customHeight="1" x14ac:dyDescent="0.2">
      <c r="J917" s="171"/>
    </row>
    <row r="918" spans="10:10" ht="12.75" customHeight="1" x14ac:dyDescent="0.2">
      <c r="J918" s="171"/>
    </row>
    <row r="919" spans="10:10" ht="12.75" customHeight="1" x14ac:dyDescent="0.2">
      <c r="J919" s="171"/>
    </row>
    <row r="920" spans="10:10" ht="12.75" customHeight="1" x14ac:dyDescent="0.2">
      <c r="J920" s="171"/>
    </row>
    <row r="921" spans="10:10" ht="12.75" customHeight="1" x14ac:dyDescent="0.2">
      <c r="J921" s="171"/>
    </row>
    <row r="922" spans="10:10" ht="12.75" customHeight="1" x14ac:dyDescent="0.2">
      <c r="J922" s="171"/>
    </row>
    <row r="923" spans="10:10" ht="12.75" customHeight="1" x14ac:dyDescent="0.2">
      <c r="J923" s="171"/>
    </row>
    <row r="924" spans="10:10" ht="12.75" customHeight="1" x14ac:dyDescent="0.2">
      <c r="J924" s="171"/>
    </row>
    <row r="925" spans="10:10" ht="12.75" customHeight="1" x14ac:dyDescent="0.2">
      <c r="J925" s="171"/>
    </row>
    <row r="926" spans="10:10" ht="12.75" customHeight="1" x14ac:dyDescent="0.2">
      <c r="J926" s="171"/>
    </row>
    <row r="927" spans="10:10" ht="12.75" customHeight="1" x14ac:dyDescent="0.2">
      <c r="J927" s="171"/>
    </row>
    <row r="928" spans="10:10" ht="12.75" customHeight="1" x14ac:dyDescent="0.2">
      <c r="J928" s="171"/>
    </row>
    <row r="929" spans="10:10" ht="12.75" customHeight="1" x14ac:dyDescent="0.2">
      <c r="J929" s="171"/>
    </row>
    <row r="930" spans="10:10" ht="12.75" customHeight="1" x14ac:dyDescent="0.2">
      <c r="J930" s="171"/>
    </row>
    <row r="931" spans="10:10" ht="12.75" customHeight="1" x14ac:dyDescent="0.2">
      <c r="J931" s="171"/>
    </row>
    <row r="932" spans="10:10" ht="12.75" customHeight="1" x14ac:dyDescent="0.2">
      <c r="J932" s="171"/>
    </row>
    <row r="933" spans="10:10" ht="12.75" customHeight="1" x14ac:dyDescent="0.2">
      <c r="J933" s="171"/>
    </row>
    <row r="934" spans="10:10" ht="12.75" customHeight="1" x14ac:dyDescent="0.2">
      <c r="J934" s="171"/>
    </row>
    <row r="935" spans="10:10" ht="12.75" customHeight="1" x14ac:dyDescent="0.2">
      <c r="J935" s="171"/>
    </row>
    <row r="936" spans="10:10" ht="12.75" customHeight="1" x14ac:dyDescent="0.2">
      <c r="J936" s="171"/>
    </row>
    <row r="937" spans="10:10" ht="12.75" customHeight="1" x14ac:dyDescent="0.2">
      <c r="J937" s="171"/>
    </row>
    <row r="938" spans="10:10" ht="12.75" customHeight="1" x14ac:dyDescent="0.2">
      <c r="J938" s="171"/>
    </row>
    <row r="939" spans="10:10" ht="12.75" customHeight="1" x14ac:dyDescent="0.2">
      <c r="J939" s="171"/>
    </row>
    <row r="940" spans="10:10" ht="12.75" customHeight="1" x14ac:dyDescent="0.2">
      <c r="J940" s="171"/>
    </row>
    <row r="941" spans="10:10" ht="12.75" customHeight="1" x14ac:dyDescent="0.2">
      <c r="J941" s="171"/>
    </row>
    <row r="942" spans="10:10" ht="12.75" customHeight="1" x14ac:dyDescent="0.2">
      <c r="J942" s="171"/>
    </row>
    <row r="943" spans="10:10" ht="12.75" customHeight="1" x14ac:dyDescent="0.2">
      <c r="J943" s="171"/>
    </row>
    <row r="944" spans="10:10" ht="12.75" customHeight="1" x14ac:dyDescent="0.2">
      <c r="J944" s="171"/>
    </row>
    <row r="945" spans="10:10" ht="12.75" customHeight="1" x14ac:dyDescent="0.2">
      <c r="J945" s="171"/>
    </row>
    <row r="946" spans="10:10" ht="12.75" customHeight="1" x14ac:dyDescent="0.2">
      <c r="J946" s="171"/>
    </row>
    <row r="947" spans="10:10" ht="12.75" customHeight="1" x14ac:dyDescent="0.2">
      <c r="J947" s="171"/>
    </row>
    <row r="948" spans="10:10" ht="12.75" customHeight="1" x14ac:dyDescent="0.2">
      <c r="J948" s="171"/>
    </row>
    <row r="949" spans="10:10" ht="12.75" customHeight="1" x14ac:dyDescent="0.2">
      <c r="J949" s="171"/>
    </row>
    <row r="950" spans="10:10" ht="12.75" customHeight="1" x14ac:dyDescent="0.2">
      <c r="J950" s="171"/>
    </row>
    <row r="951" spans="10:10" ht="12.75" customHeight="1" x14ac:dyDescent="0.2">
      <c r="J951" s="171"/>
    </row>
    <row r="952" spans="10:10" ht="12.75" customHeight="1" x14ac:dyDescent="0.2">
      <c r="J952" s="171"/>
    </row>
    <row r="953" spans="10:10" ht="12.75" customHeight="1" x14ac:dyDescent="0.2">
      <c r="J953" s="171"/>
    </row>
    <row r="954" spans="10:10" ht="12.75" customHeight="1" x14ac:dyDescent="0.2">
      <c r="J954" s="171"/>
    </row>
    <row r="955" spans="10:10" ht="12.75" customHeight="1" x14ac:dyDescent="0.2">
      <c r="J955" s="171"/>
    </row>
    <row r="956" spans="10:10" ht="12.75" customHeight="1" x14ac:dyDescent="0.2">
      <c r="J956" s="171"/>
    </row>
    <row r="957" spans="10:10" ht="12.75" customHeight="1" x14ac:dyDescent="0.2">
      <c r="J957" s="171"/>
    </row>
    <row r="958" spans="10:10" ht="12.75" customHeight="1" x14ac:dyDescent="0.2">
      <c r="J958" s="171"/>
    </row>
    <row r="959" spans="10:10" ht="12.75" customHeight="1" x14ac:dyDescent="0.2">
      <c r="J959" s="171"/>
    </row>
    <row r="960" spans="10:10" ht="12.75" customHeight="1" x14ac:dyDescent="0.2">
      <c r="J960" s="171"/>
    </row>
    <row r="961" spans="10:10" ht="12.75" customHeight="1" x14ac:dyDescent="0.2">
      <c r="J961" s="171"/>
    </row>
    <row r="962" spans="10:10" ht="12.75" customHeight="1" x14ac:dyDescent="0.2">
      <c r="J962" s="171"/>
    </row>
    <row r="963" spans="10:10" ht="12.75" customHeight="1" x14ac:dyDescent="0.2">
      <c r="J963" s="171"/>
    </row>
    <row r="964" spans="10:10" ht="12.75" customHeight="1" x14ac:dyDescent="0.2">
      <c r="J964" s="171"/>
    </row>
    <row r="965" spans="10:10" ht="12.75" customHeight="1" x14ac:dyDescent="0.2">
      <c r="J965" s="171"/>
    </row>
    <row r="966" spans="10:10" ht="12.75" customHeight="1" x14ac:dyDescent="0.2">
      <c r="J966" s="171"/>
    </row>
    <row r="967" spans="10:10" ht="12.75" customHeight="1" x14ac:dyDescent="0.2">
      <c r="J967" s="171"/>
    </row>
    <row r="968" spans="10:10" ht="12.75" customHeight="1" x14ac:dyDescent="0.2">
      <c r="J968" s="171"/>
    </row>
    <row r="969" spans="10:10" ht="12.75" customHeight="1" x14ac:dyDescent="0.2">
      <c r="J969" s="171"/>
    </row>
    <row r="970" spans="10:10" ht="12.75" customHeight="1" x14ac:dyDescent="0.2">
      <c r="J970" s="171"/>
    </row>
    <row r="971" spans="10:10" ht="12.75" customHeight="1" x14ac:dyDescent="0.2">
      <c r="J971" s="171"/>
    </row>
    <row r="972" spans="10:10" ht="12.75" customHeight="1" x14ac:dyDescent="0.2">
      <c r="J972" s="171"/>
    </row>
    <row r="973" spans="10:10" ht="12.75" customHeight="1" x14ac:dyDescent="0.2">
      <c r="J973" s="171"/>
    </row>
    <row r="974" spans="10:10" ht="12.75" customHeight="1" x14ac:dyDescent="0.2">
      <c r="J974" s="171"/>
    </row>
    <row r="975" spans="10:10" ht="12.75" customHeight="1" x14ac:dyDescent="0.2">
      <c r="J975" s="171"/>
    </row>
    <row r="976" spans="10:10" ht="12.75" customHeight="1" x14ac:dyDescent="0.2">
      <c r="J976" s="171"/>
    </row>
    <row r="977" spans="10:10" ht="12.75" customHeight="1" x14ac:dyDescent="0.2">
      <c r="J977" s="171"/>
    </row>
    <row r="978" spans="10:10" ht="12.75" customHeight="1" x14ac:dyDescent="0.2">
      <c r="J978" s="171"/>
    </row>
    <row r="979" spans="10:10" ht="12.75" customHeight="1" x14ac:dyDescent="0.2">
      <c r="J979" s="171"/>
    </row>
    <row r="980" spans="10:10" ht="12.75" customHeight="1" x14ac:dyDescent="0.2">
      <c r="J980" s="171"/>
    </row>
    <row r="981" spans="10:10" ht="12.75" customHeight="1" x14ac:dyDescent="0.2">
      <c r="J981" s="171"/>
    </row>
    <row r="982" spans="10:10" ht="12.75" customHeight="1" x14ac:dyDescent="0.2">
      <c r="J982" s="171"/>
    </row>
    <row r="983" spans="10:10" ht="12.75" customHeight="1" x14ac:dyDescent="0.2">
      <c r="J983" s="171"/>
    </row>
    <row r="984" spans="10:10" ht="12.75" customHeight="1" x14ac:dyDescent="0.2">
      <c r="J984" s="171"/>
    </row>
    <row r="985" spans="10:10" ht="12.75" customHeight="1" x14ac:dyDescent="0.2">
      <c r="J985" s="171"/>
    </row>
    <row r="986" spans="10:10" ht="12.75" customHeight="1" x14ac:dyDescent="0.2">
      <c r="J986" s="171"/>
    </row>
    <row r="987" spans="10:10" ht="12.75" customHeight="1" x14ac:dyDescent="0.2">
      <c r="J987" s="171"/>
    </row>
    <row r="988" spans="10:10" ht="12.75" customHeight="1" x14ac:dyDescent="0.2">
      <c r="J988" s="171"/>
    </row>
    <row r="989" spans="10:10" ht="12.75" customHeight="1" x14ac:dyDescent="0.2">
      <c r="J989" s="171"/>
    </row>
    <row r="990" spans="10:10" ht="12.75" customHeight="1" x14ac:dyDescent="0.2">
      <c r="J990" s="171"/>
    </row>
    <row r="991" spans="10:10" ht="12.75" customHeight="1" x14ac:dyDescent="0.2">
      <c r="J991" s="171"/>
    </row>
    <row r="992" spans="10:10" ht="12.75" customHeight="1" x14ac:dyDescent="0.2">
      <c r="J992" s="171"/>
    </row>
    <row r="993" spans="10:10" ht="12.75" customHeight="1" x14ac:dyDescent="0.2">
      <c r="J993" s="171"/>
    </row>
    <row r="994" spans="10:10" ht="12.75" customHeight="1" x14ac:dyDescent="0.2">
      <c r="J994" s="171"/>
    </row>
    <row r="995" spans="10:10" ht="12.75" customHeight="1" x14ac:dyDescent="0.2">
      <c r="J995" s="171"/>
    </row>
    <row r="996" spans="10:10" ht="12.75" customHeight="1" x14ac:dyDescent="0.2">
      <c r="J996" s="171"/>
    </row>
    <row r="997" spans="10:10" ht="12.75" customHeight="1" x14ac:dyDescent="0.2">
      <c r="J997" s="171"/>
    </row>
    <row r="998" spans="10:10" ht="12.75" customHeight="1" x14ac:dyDescent="0.2">
      <c r="J998" s="17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I30"/>
  <sheetViews>
    <sheetView workbookViewId="0">
      <selection activeCell="G9" sqref="G7:G9"/>
    </sheetView>
  </sheetViews>
  <sheetFormatPr baseColWidth="10" defaultColWidth="14.5" defaultRowHeight="15" customHeight="1" x14ac:dyDescent="0.15"/>
  <cols>
    <col min="1" max="1" width="3.6640625" style="74" customWidth="1"/>
    <col min="2" max="2" width="69.6640625" style="74" customWidth="1"/>
    <col min="3" max="3" width="18.83203125" style="74" customWidth="1"/>
    <col min="4" max="4" width="27.33203125" style="74" customWidth="1"/>
    <col min="5" max="5" width="19.83203125" style="74" customWidth="1"/>
    <col min="6" max="6" width="20.83203125" style="74" customWidth="1"/>
    <col min="7" max="7" width="19.83203125" style="74" customWidth="1"/>
    <col min="8" max="11" width="17.6640625" style="74" customWidth="1"/>
    <col min="12" max="111" width="14.5" style="74" customWidth="1"/>
    <col min="112" max="16384" width="14.5" style="74"/>
  </cols>
  <sheetData>
    <row r="1" spans="1:9" ht="15" customHeight="1" x14ac:dyDescent="0.15">
      <c r="A1" s="7"/>
      <c r="B1" s="7" t="s">
        <v>108</v>
      </c>
      <c r="C1" s="8" t="s">
        <v>109</v>
      </c>
      <c r="D1" s="8" t="s">
        <v>110</v>
      </c>
      <c r="E1" s="8" t="s">
        <v>111</v>
      </c>
      <c r="F1" s="9" t="str">
        <f>CONCATENATE(F2,F3,F5,F6,F7,F8,F9,F4,F10,F11,F12,F13,F14,F15,F16)</f>
        <v>F0000107JE%7CF00000ZJ1W%7CF00000OHVY%7CF00000M0UD%7CF00000SC7Y%7CF000016K5L%7CF0GBR04SKK%7C</v>
      </c>
      <c r="G1" s="9" t="str">
        <f>CONCATENATE(G2,G3,G5,G6,G7,G8,G9,G4,G10,G11,G12,G13,G14,G15,G16)</f>
        <v>15%7C50%7C5%7C5%7C5%7C10%7C10%7C</v>
      </c>
      <c r="H1" s="9" t="str">
        <f>CONCATENATE(H2,H3,H5,H6,H7,H8,H9,H4,H10,H11,H12,H13,H14,H15,H16)</f>
        <v>FO%7CFO%7CFO%7CFO%7CFO%7CFO%7CFO%7C</v>
      </c>
      <c r="I1" s="10"/>
    </row>
    <row r="2" spans="1:9" ht="15" customHeight="1" x14ac:dyDescent="0.2">
      <c r="A2" s="11">
        <v>1</v>
      </c>
      <c r="B2" s="11" t="s">
        <v>1</v>
      </c>
      <c r="C2" s="12" t="s">
        <v>0</v>
      </c>
      <c r="D2" s="12" t="s">
        <v>112</v>
      </c>
      <c r="E2" s="13">
        <v>15</v>
      </c>
      <c r="F2" s="9" t="str">
        <f t="shared" ref="F2:F12" si="0">IF(D2&lt;&gt;"",CONCATENATE(D2,"%7C"),"")</f>
        <v>F0000107JE%7C</v>
      </c>
      <c r="G2" s="9" t="str">
        <f t="shared" ref="G2:G12" si="1">IF(E2&lt;&gt;"",IF(D2&lt;&gt;"",CONCATENATE(+E2,"%7C"),""),"")</f>
        <v>15%7C</v>
      </c>
      <c r="H2" s="9" t="str">
        <f t="shared" ref="H2:H12" si="2">IF(D2&lt;&gt;"","FO%7C","")</f>
        <v>FO%7C</v>
      </c>
      <c r="I2" s="10"/>
    </row>
    <row r="3" spans="1:9" ht="15" customHeight="1" x14ac:dyDescent="0.2">
      <c r="A3" s="11">
        <v>2</v>
      </c>
      <c r="B3" s="11" t="s">
        <v>5</v>
      </c>
      <c r="C3" s="12" t="s">
        <v>4</v>
      </c>
      <c r="D3" s="12" t="s">
        <v>113</v>
      </c>
      <c r="E3" s="13">
        <v>50</v>
      </c>
      <c r="F3" s="9" t="str">
        <f t="shared" si="0"/>
        <v>F00000ZJ1W%7C</v>
      </c>
      <c r="G3" s="9" t="str">
        <f t="shared" si="1"/>
        <v>50%7C</v>
      </c>
      <c r="H3" s="9" t="str">
        <f t="shared" si="2"/>
        <v>FO%7C</v>
      </c>
      <c r="I3" s="10"/>
    </row>
    <row r="4" spans="1:9" ht="15" customHeight="1" x14ac:dyDescent="0.2">
      <c r="A4" s="11">
        <v>3</v>
      </c>
      <c r="B4" s="11" t="s">
        <v>7</v>
      </c>
      <c r="C4" s="12" t="s">
        <v>6</v>
      </c>
      <c r="D4" s="12" t="s">
        <v>114</v>
      </c>
      <c r="E4" s="13">
        <v>10</v>
      </c>
      <c r="F4" s="9" t="str">
        <f t="shared" si="0"/>
        <v>F0GBR04SKK%7C</v>
      </c>
      <c r="G4" s="9" t="str">
        <f t="shared" si="1"/>
        <v>10%7C</v>
      </c>
      <c r="H4" s="9" t="str">
        <f t="shared" si="2"/>
        <v>FO%7C</v>
      </c>
      <c r="I4" s="10"/>
    </row>
    <row r="5" spans="1:9" ht="15" customHeight="1" x14ac:dyDescent="0.2">
      <c r="A5" s="11">
        <v>4</v>
      </c>
      <c r="B5" s="11" t="s">
        <v>9</v>
      </c>
      <c r="C5" s="12" t="s">
        <v>8</v>
      </c>
      <c r="D5" s="12" t="s">
        <v>115</v>
      </c>
      <c r="E5" s="13">
        <v>5</v>
      </c>
      <c r="F5" s="9" t="str">
        <f t="shared" si="0"/>
        <v>F00000OHVY%7C</v>
      </c>
      <c r="G5" s="9" t="str">
        <f t="shared" si="1"/>
        <v>5%7C</v>
      </c>
      <c r="H5" s="9" t="str">
        <f t="shared" si="2"/>
        <v>FO%7C</v>
      </c>
      <c r="I5" s="10"/>
    </row>
    <row r="6" spans="1:9" ht="15" customHeight="1" x14ac:dyDescent="0.2">
      <c r="A6" s="11">
        <v>5</v>
      </c>
      <c r="B6" s="11" t="s">
        <v>11</v>
      </c>
      <c r="C6" s="12" t="s">
        <v>10</v>
      </c>
      <c r="D6" s="12" t="s">
        <v>116</v>
      </c>
      <c r="E6" s="13">
        <v>5</v>
      </c>
      <c r="F6" s="9" t="str">
        <f t="shared" si="0"/>
        <v>F00000M0UD%7C</v>
      </c>
      <c r="G6" s="9" t="str">
        <f t="shared" si="1"/>
        <v>5%7C</v>
      </c>
      <c r="H6" s="9" t="str">
        <f t="shared" si="2"/>
        <v>FO%7C</v>
      </c>
      <c r="I6" s="10"/>
    </row>
    <row r="7" spans="1:9" ht="15" customHeight="1" x14ac:dyDescent="0.2">
      <c r="A7" s="11">
        <v>6</v>
      </c>
      <c r="B7" s="11" t="s">
        <v>15</v>
      </c>
      <c r="C7" s="12" t="s">
        <v>14</v>
      </c>
      <c r="D7" s="12" t="s">
        <v>117</v>
      </c>
      <c r="E7" s="13">
        <v>5</v>
      </c>
      <c r="F7" s="9" t="str">
        <f t="shared" si="0"/>
        <v>F00000SC7Y%7C</v>
      </c>
      <c r="G7" s="9" t="str">
        <f t="shared" si="1"/>
        <v>5%7C</v>
      </c>
      <c r="H7" s="9" t="str">
        <f t="shared" si="2"/>
        <v>FO%7C</v>
      </c>
      <c r="I7" s="10"/>
    </row>
    <row r="8" spans="1:9" ht="15" customHeight="1" x14ac:dyDescent="0.2">
      <c r="A8" s="11">
        <v>7</v>
      </c>
      <c r="B8" s="11" t="s">
        <v>19</v>
      </c>
      <c r="C8" s="12" t="s">
        <v>18</v>
      </c>
      <c r="D8" s="12" t="s">
        <v>118</v>
      </c>
      <c r="E8" s="13">
        <v>10</v>
      </c>
      <c r="F8" s="9" t="str">
        <f t="shared" si="0"/>
        <v>F000016K5L%7C</v>
      </c>
      <c r="G8" s="9" t="str">
        <f t="shared" si="1"/>
        <v>10%7C</v>
      </c>
      <c r="H8" s="9" t="str">
        <f t="shared" si="2"/>
        <v>FO%7C</v>
      </c>
      <c r="I8" s="10"/>
    </row>
    <row r="9" spans="1:9" ht="15" customHeight="1" x14ac:dyDescent="0.2">
      <c r="A9" s="11"/>
      <c r="B9" s="11"/>
      <c r="C9" s="12"/>
      <c r="D9" s="12"/>
      <c r="E9" s="13"/>
      <c r="F9" s="9" t="str">
        <f t="shared" si="0"/>
        <v/>
      </c>
      <c r="G9" s="9" t="str">
        <f t="shared" si="1"/>
        <v/>
      </c>
      <c r="H9" s="9" t="str">
        <f t="shared" si="2"/>
        <v/>
      </c>
      <c r="I9" s="10"/>
    </row>
    <row r="10" spans="1:9" ht="15" customHeight="1" x14ac:dyDescent="0.2">
      <c r="A10" s="11"/>
      <c r="B10" s="11"/>
      <c r="C10" s="12"/>
      <c r="D10" s="12"/>
      <c r="E10" s="13"/>
      <c r="F10" s="9" t="str">
        <f t="shared" si="0"/>
        <v/>
      </c>
      <c r="G10" s="9" t="str">
        <f t="shared" si="1"/>
        <v/>
      </c>
      <c r="H10" s="9" t="str">
        <f t="shared" si="2"/>
        <v/>
      </c>
      <c r="I10" s="10"/>
    </row>
    <row r="11" spans="1:9" ht="15" customHeight="1" x14ac:dyDescent="0.2">
      <c r="A11" s="11"/>
      <c r="B11" s="11"/>
      <c r="C11" s="12"/>
      <c r="D11" s="12"/>
      <c r="E11" s="13"/>
      <c r="F11" s="9" t="str">
        <f t="shared" si="0"/>
        <v/>
      </c>
      <c r="G11" s="9" t="str">
        <f t="shared" si="1"/>
        <v/>
      </c>
      <c r="H11" s="9" t="str">
        <f t="shared" si="2"/>
        <v/>
      </c>
      <c r="I11" s="14"/>
    </row>
    <row r="12" spans="1:9" ht="15" customHeight="1" x14ac:dyDescent="0.2">
      <c r="A12" s="11"/>
      <c r="B12" s="11"/>
      <c r="C12" s="12"/>
      <c r="D12" s="12"/>
      <c r="E12" s="13"/>
      <c r="F12" s="9" t="str">
        <f t="shared" si="0"/>
        <v/>
      </c>
      <c r="G12" s="9" t="str">
        <f t="shared" si="1"/>
        <v/>
      </c>
      <c r="H12" s="9" t="str">
        <f t="shared" si="2"/>
        <v/>
      </c>
      <c r="I12" s="10"/>
    </row>
    <row r="13" spans="1:9" ht="15" customHeight="1" x14ac:dyDescent="0.2">
      <c r="A13" s="11"/>
      <c r="B13" s="11"/>
      <c r="C13" s="12"/>
      <c r="D13" s="12"/>
      <c r="E13" s="13"/>
      <c r="F13" s="9"/>
      <c r="G13" s="9"/>
      <c r="H13" s="9"/>
      <c r="I13" s="10"/>
    </row>
    <row r="14" spans="1:9" ht="15" customHeight="1" x14ac:dyDescent="0.2">
      <c r="A14" s="11"/>
      <c r="B14" s="11"/>
      <c r="C14" s="12"/>
      <c r="D14" s="12"/>
      <c r="E14" s="13"/>
      <c r="F14" s="14" t="str">
        <f>IF(D14&lt;&gt;"",CONCATENATE(D14,"%7C"),"")</f>
        <v/>
      </c>
      <c r="G14" s="14" t="str">
        <f>IF(E14&lt;&gt;"",IF(D14&lt;&gt;"",CONCATENATE(+E14,"%7C"),""),"")</f>
        <v/>
      </c>
      <c r="H14" s="14" t="str">
        <f>IF(D14&lt;&gt;"","FO%7C","")</f>
        <v/>
      </c>
      <c r="I14" s="10"/>
    </row>
    <row r="15" spans="1:9" ht="15" customHeight="1" x14ac:dyDescent="0.2">
      <c r="A15" s="11"/>
      <c r="B15" s="11"/>
      <c r="C15" s="12"/>
      <c r="D15" s="12"/>
      <c r="E15" s="13"/>
      <c r="F15" s="14" t="str">
        <f>IF(D15&lt;&gt;"",CONCATENATE(D15,"%7C"),"")</f>
        <v/>
      </c>
      <c r="G15" s="14" t="str">
        <f>IF(E15&lt;&gt;"",IF(D15&lt;&gt;"",CONCATENATE(+E15,"%7C"),""),"")</f>
        <v/>
      </c>
      <c r="H15" s="14" t="str">
        <f>IF(D15&lt;&gt;"","FO%7C","")</f>
        <v/>
      </c>
      <c r="I15" s="10"/>
    </row>
    <row r="16" spans="1:9" ht="15" customHeight="1" x14ac:dyDescent="0.2">
      <c r="A16" s="11"/>
      <c r="B16" s="11"/>
      <c r="C16" s="12"/>
      <c r="D16" s="12"/>
      <c r="E16" s="13"/>
      <c r="F16" s="14" t="str">
        <f>IF(D16&lt;&gt;"",CONCATENATE(D16,"%7C"),"")</f>
        <v/>
      </c>
      <c r="G16" s="15"/>
      <c r="H16" s="14" t="str">
        <f>IF(D16&lt;&gt;"","FO%7C","")</f>
        <v/>
      </c>
      <c r="I16" s="10"/>
    </row>
    <row r="17" spans="1:9" ht="15" customHeight="1" x14ac:dyDescent="0.2">
      <c r="A17" s="16"/>
      <c r="B17" s="16"/>
      <c r="C17" s="16"/>
      <c r="D17" s="12" t="s">
        <v>61</v>
      </c>
      <c r="E17" s="13">
        <f>SUM(E2:E16)</f>
        <v>100</v>
      </c>
      <c r="F17" s="10"/>
      <c r="G17" s="10"/>
      <c r="H17" s="10"/>
      <c r="I17" s="10"/>
    </row>
    <row r="18" spans="1:9" ht="15" customHeight="1" x14ac:dyDescent="0.2">
      <c r="A18" s="17"/>
      <c r="B18" s="17"/>
      <c r="C18" s="17"/>
      <c r="D18" s="17"/>
      <c r="E18" s="17"/>
      <c r="F18" s="18"/>
      <c r="G18" s="18"/>
      <c r="H18" s="18"/>
      <c r="I18" s="10"/>
    </row>
    <row r="19" spans="1:9" ht="15" customHeight="1" x14ac:dyDescent="0.2">
      <c r="A19" s="17"/>
      <c r="B19" s="17"/>
      <c r="C19" s="17"/>
      <c r="D19" s="17"/>
      <c r="E19" s="17"/>
      <c r="F19" s="18"/>
      <c r="G19" s="18"/>
      <c r="H19" s="18"/>
      <c r="I19" s="10"/>
    </row>
    <row r="20" spans="1:9" ht="15" customHeight="1" x14ac:dyDescent="0.2">
      <c r="A20" s="19"/>
      <c r="B20" s="19"/>
      <c r="C20" s="19"/>
      <c r="D20" s="19"/>
      <c r="E20" s="19"/>
      <c r="F20" s="10"/>
      <c r="G20" s="10"/>
      <c r="H20" s="10"/>
      <c r="I20" s="10"/>
    </row>
    <row r="21" spans="1:9" ht="15" customHeight="1" x14ac:dyDescent="0.15">
      <c r="A21" s="10"/>
      <c r="B21" s="10"/>
      <c r="C21" s="10"/>
      <c r="D21" s="10"/>
      <c r="E21" s="10"/>
      <c r="F21" s="10"/>
      <c r="G21" s="10"/>
      <c r="H21" s="10"/>
      <c r="I21" s="10"/>
    </row>
    <row r="22" spans="1:9" ht="18" customHeight="1" x14ac:dyDescent="0.2">
      <c r="A22" s="14"/>
      <c r="B22" s="19" t="s">
        <v>119</v>
      </c>
      <c r="C22" s="24"/>
      <c r="D22" s="19" t="s">
        <v>120</v>
      </c>
      <c r="E22" s="10"/>
      <c r="F22" s="10"/>
      <c r="G22" s="10"/>
      <c r="H22" s="10"/>
      <c r="I22" s="10"/>
    </row>
    <row r="23" spans="1:9" ht="15" customHeight="1" x14ac:dyDescent="0.15">
      <c r="A23" s="10"/>
      <c r="B23" s="25" t="s">
        <v>121</v>
      </c>
      <c r="C23" s="14" t="s">
        <v>122</v>
      </c>
      <c r="D23" s="20" t="str">
        <f>CONCATENATE("https://lt.morningstar.com/j2uwuwirpv/xray/default.aspx?LanguageId=es-ES&amp;CurrencyId=EUR&amp;securityIds=",F1,"&amp;marketValues=",G1,"&amp;typeids=",H1)</f>
        <v>https://lt.morningstar.com/j2uwuwirpv/xray/default.aspx?LanguageId=es-ES&amp;CurrencyId=EUR&amp;securityIds=F0000107JE%7CF00000ZJ1W%7CF00000OHVY%7CF00000M0UD%7CF00000SC7Y%7CF000016K5L%7CF0GBR04SKK%7C&amp;marketValues=15%7C50%7C5%7C5%7C5%7C10%7C10%7C&amp;typeids=FO%7CFO%7CFO%7CFO%7CFO%7CFO%7CFO%7C</v>
      </c>
      <c r="E23" s="14" t="s">
        <v>122</v>
      </c>
      <c r="F23" s="10"/>
      <c r="G23" s="10"/>
      <c r="H23" s="10"/>
      <c r="I23" s="10"/>
    </row>
    <row r="25" spans="1:9" ht="15" customHeight="1" x14ac:dyDescent="0.15">
      <c r="B25" s="21"/>
    </row>
    <row r="26" spans="1:9" ht="15" customHeight="1" x14ac:dyDescent="0.15">
      <c r="B26" s="22"/>
    </row>
    <row r="28" spans="1:9" ht="15" customHeight="1" x14ac:dyDescent="0.15">
      <c r="B28" s="23"/>
    </row>
    <row r="30" spans="1:9" ht="15" customHeight="1" x14ac:dyDescent="0.15">
      <c r="C30" s="10"/>
    </row>
  </sheetData>
  <conditionalFormatting sqref="E2:E17">
    <cfRule type="notContainsBlanks" dxfId="13" priority="1">
      <formula>LEN(TRIM(E2))&gt;0</formula>
    </cfRule>
  </conditionalFormatting>
  <hyperlinks>
    <hyperlink ref="B23" r:id="rId1" display="https://lt.morningstar.com/j2uwuwirpv/xraypdf/default.aspx?LanguageId=es-ES&amp;CurrencyId=EUR&amp;securityIds=F0000107JE%7CF00000ZJ1W%7CF00000OHVY%7CF00000M0UD%7CF00000SC7Y%7CF000016K5L%7CF0GBR04SKK%7C&amp;marketValues=15%7C50%7C5%7C5%7C5%7C10%7C10%7C&amp;typeids=FO%7CFO%7CFO%7CFO%7CFO%7CFO%7CFO%7C" xr:uid="{00000000-0004-0000-0800-000000000000}"/>
  </hyperlinks>
  <pageMargins left="0.7" right="0.7" top="0.75" bottom="0.75" header="0.3" footer="0.3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Fondos</vt:lpstr>
      <vt:lpstr>Estrategia</vt:lpstr>
      <vt:lpstr>Resumen</vt:lpstr>
      <vt:lpstr>Asset</vt:lpstr>
      <vt:lpstr>Cuentas</vt:lpstr>
      <vt:lpstr>Cartera 2021</vt:lpstr>
      <vt:lpstr>2021</vt:lpstr>
      <vt:lpstr>Notas</vt:lpstr>
      <vt:lpstr>Xray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Gutierrez Zapata</dc:creator>
  <cp:lastModifiedBy>Angel Gutierrez Zapata</cp:lastModifiedBy>
  <dcterms:created xsi:type="dcterms:W3CDTF">2020-12-29T11:03:18Z</dcterms:created>
  <dcterms:modified xsi:type="dcterms:W3CDTF">2021-06-09T14:04:54Z</dcterms:modified>
</cp:coreProperties>
</file>